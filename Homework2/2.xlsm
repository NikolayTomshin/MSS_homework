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Библиотека\МСС\"/>
    </mc:Choice>
  </mc:AlternateContent>
  <xr:revisionPtr revIDLastSave="0" documentId="13_ncr:1_{BC3FA882-0394-4BDC-9369-7C7A432D884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F16" i="1"/>
  <c r="F13" i="1" s="1"/>
  <c r="C4" i="1"/>
  <c r="G11" i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Z15" i="1" l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X15" i="1"/>
  <c r="R15" i="1"/>
  <c r="O15" i="1"/>
  <c r="AI15" i="1"/>
  <c r="AB15" i="1"/>
  <c r="P15" i="1"/>
  <c r="K15" i="1"/>
  <c r="AD15" i="1"/>
  <c r="S15" i="1"/>
  <c r="L15" i="1"/>
  <c r="AH15" i="1"/>
  <c r="W15" i="1"/>
  <c r="N15" i="1"/>
  <c r="AA15" i="1"/>
  <c r="T15" i="1"/>
  <c r="AE15" i="1"/>
  <c r="V15" i="1"/>
  <c r="H15" i="1"/>
  <c r="AF15" i="1"/>
  <c r="I15" i="1"/>
  <c r="Q15" i="1"/>
  <c r="Y15" i="1"/>
  <c r="AG15" i="1"/>
  <c r="J15" i="1"/>
  <c r="M15" i="1"/>
  <c r="U15" i="1"/>
  <c r="AC15" i="1"/>
  <c r="G15" i="1" l="1"/>
  <c r="G16" i="1"/>
</calcChain>
</file>

<file path=xl/sharedStrings.xml><?xml version="1.0" encoding="utf-8"?>
<sst xmlns="http://schemas.openxmlformats.org/spreadsheetml/2006/main" count="14" uniqueCount="13">
  <si>
    <t>L</t>
  </si>
  <si>
    <t>dx</t>
  </si>
  <si>
    <t>dt</t>
  </si>
  <si>
    <t>t</t>
  </si>
  <si>
    <t>Cp</t>
  </si>
  <si>
    <t>ro</t>
  </si>
  <si>
    <t>lambda</t>
  </si>
  <si>
    <t>T</t>
  </si>
  <si>
    <t>T_end</t>
  </si>
  <si>
    <t>T_iter</t>
  </si>
  <si>
    <t>q</t>
  </si>
  <si>
    <t>q_start</t>
  </si>
  <si>
    <t>линейная плотность потока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</si>
</sst>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000"/>
    <numFmt numFmtId="165" formatCode="0.000"/>
    <numFmt numFmtId="166" formatCode="_-* #,##0_-;\-* #,##0_-;_-* &quot;-&quot;??_-;_-@_-"/>
    <numFmt numFmtId="167" formatCode="_-* #,##0.0\ _₽_-;\-* #,##0.0\ _₽_-;_-* &quot;-&quot;???\ _₽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0" borderId="2" xfId="0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0" fontId="0" fillId="0" borderId="0" xfId="0" applyBorder="1"/>
    <xf numFmtId="0" fontId="0" fillId="0" borderId="3" xfId="0" applyBorder="1" applyAlignment="1">
      <alignment horizontal="center" vertical="center"/>
    </xf>
    <xf numFmtId="166" fontId="0" fillId="0" borderId="0" xfId="1" applyNumberFormat="1" applyFont="1"/>
    <xf numFmtId="167" fontId="0" fillId="0" borderId="0" xfId="0" applyNumberFormat="1"/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_-* #\ ##0.0\ _₽_-;\-* #\ ##0.0\ _₽_-;_-* "-"???\ _₽_-;_-@_-</c:formatCode>
                <c:ptCount val="31"/>
                <c:pt idx="0">
                  <c:v>317.28644179827467</c:v>
                </c:pt>
                <c:pt idx="1">
                  <c:v>310.04006498668048</c:v>
                </c:pt>
                <c:pt idx="2">
                  <c:v>302.79398541937314</c:v>
                </c:pt>
                <c:pt idx="3">
                  <c:v>295.54820225379268</c:v>
                </c:pt>
                <c:pt idx="4">
                  <c:v>288.30271380716249</c:v>
                </c:pt>
                <c:pt idx="5">
                  <c:v>281.05751756134896</c:v>
                </c:pt>
                <c:pt idx="6">
                  <c:v>273.81261016986622</c:v>
                </c:pt>
                <c:pt idx="7">
                  <c:v>266.56798746753736</c:v>
                </c:pt>
                <c:pt idx="8">
                  <c:v>259.3236444820854</c:v>
                </c:pt>
                <c:pt idx="9">
                  <c:v>252.07957544848173</c:v>
                </c:pt>
                <c:pt idx="10">
                  <c:v>244.83577382499837</c:v>
                </c:pt>
                <c:pt idx="11">
                  <c:v>237.59223231207244</c:v>
                </c:pt>
                <c:pt idx="12">
                  <c:v>230.34894287264814</c:v>
                </c:pt>
                <c:pt idx="13">
                  <c:v>223.10589675533231</c:v>
                </c:pt>
                <c:pt idx="14">
                  <c:v>215.8630845188076</c:v>
                </c:pt>
                <c:pt idx="15">
                  <c:v>208.62049605900393</c:v>
                </c:pt>
                <c:pt idx="16">
                  <c:v>201.37812063731982</c:v>
                </c:pt>
                <c:pt idx="17">
                  <c:v>194.13594691148788</c:v>
                </c:pt>
                <c:pt idx="18">
                  <c:v>186.89396296729871</c:v>
                </c:pt>
                <c:pt idx="19">
                  <c:v>179.65215635279645</c:v>
                </c:pt>
                <c:pt idx="20">
                  <c:v>172.4105141131601</c:v>
                </c:pt>
                <c:pt idx="21">
                  <c:v>165.16902282782749</c:v>
                </c:pt>
                <c:pt idx="22">
                  <c:v>157.92766864815266</c:v>
                </c:pt>
                <c:pt idx="23">
                  <c:v>150.68643733702419</c:v>
                </c:pt>
                <c:pt idx="24">
                  <c:v>143.44531430888503</c:v>
                </c:pt>
                <c:pt idx="25">
                  <c:v>136.20428467138368</c:v>
                </c:pt>
                <c:pt idx="26">
                  <c:v>128.96333326731494</c:v>
                </c:pt>
                <c:pt idx="27">
                  <c:v>121.72244471782113</c:v>
                </c:pt>
                <c:pt idx="28">
                  <c:v>114.48160346578806</c:v>
                </c:pt>
                <c:pt idx="29">
                  <c:v>107.2407938200989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B-4090-B084-6431B7EC1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83168"/>
        <c:axId val="251782336"/>
      </c:scatterChart>
      <c:valAx>
        <c:axId val="251783168"/>
        <c:scaling>
          <c:orientation val="minMax"/>
          <c:max val="0.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82336"/>
        <c:crosses val="autoZero"/>
        <c:crossBetween val="midCat"/>
      </c:valAx>
      <c:valAx>
        <c:axId val="2517823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83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147917</xdr:colOff>
      <xdr:row>18</xdr:row>
      <xdr:rowOff>26893</xdr:rowOff>
    </xdr:from>
    <xdr:to>
      <xdr:col>14</xdr:col>
      <xdr:colOff>493059</xdr:colOff>
      <xdr:row>40</xdr:row>
      <xdr:rowOff>143434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021AEB90-7D7E-4634-A1E8-59849D075C43}"/>
            </a:ext>
          </a:extLst>
        </xdr:cNvPr>
        <xdr:cNvGrpSpPr/>
      </xdr:nvGrpSpPr>
      <xdr:grpSpPr>
        <a:xfrm>
          <a:off x="2765611" y="3469340"/>
          <a:ext cx="7445189" cy="4061012"/>
          <a:chOff x="3151093" y="2967317"/>
          <a:chExt cx="4459942" cy="4061012"/>
        </a:xfrm>
      </xdr:grpSpPr>
      <xdr:grpSp>
        <xdr:nvGrpSpPr>
          <xdr:cNvPr id="5" name="Группа 4">
            <a:extLst>
              <a:ext uri="{FF2B5EF4-FFF2-40B4-BE49-F238E27FC236}">
                <a16:creationId xmlns:a16="http://schemas.microsoft.com/office/drawing/2014/main" id="{02333DC3-F282-4FA4-9E5E-E159EF77C5FD}"/>
              </a:ext>
            </a:extLst>
          </xdr:cNvPr>
          <xdr:cNvGrpSpPr/>
        </xdr:nvGrpSpPr>
        <xdr:grpSpPr>
          <a:xfrm>
            <a:off x="3151093" y="2967317"/>
            <a:ext cx="4459942" cy="4061012"/>
            <a:chOff x="5939117" y="3272116"/>
            <a:chExt cx="3823448" cy="3406589"/>
          </a:xfrm>
        </xdr:grpSpPr>
        <xdr:graphicFrame macro="">
          <xdr:nvGraphicFramePr>
            <xdr:cNvPr id="2" name="Диаграмма 1">
              <a:extLst>
                <a:ext uri="{FF2B5EF4-FFF2-40B4-BE49-F238E27FC236}">
                  <a16:creationId xmlns:a16="http://schemas.microsoft.com/office/drawing/2014/main" id="{01EE562F-4367-41C4-9367-A54680F74072}"/>
                </a:ext>
              </a:extLst>
            </xdr:cNvPr>
            <xdr:cNvGraphicFramePr/>
          </xdr:nvGraphicFramePr>
          <xdr:xfrm>
            <a:off x="5939117" y="3272116"/>
            <a:ext cx="3823448" cy="340658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2C3383C-AD24-487C-8CD3-72B45EA9B02B}"/>
                </a:ext>
              </a:extLst>
            </xdr:cNvPr>
            <xdr:cNvSpPr txBox="1"/>
          </xdr:nvSpPr>
          <xdr:spPr>
            <a:xfrm>
              <a:off x="5951887" y="3325907"/>
              <a:ext cx="365021" cy="35468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600" b="1" i="1">
                  <a:latin typeface="Cambria Math" panose="02040503050406030204" pitchFamily="18" charset="0"/>
                  <a:ea typeface="Cambria Math" panose="02040503050406030204" pitchFamily="18" charset="0"/>
                </a:rPr>
                <a:t>T, </a:t>
              </a:r>
              <a:r>
                <a:rPr lang="en-US" sz="1600" b="1" i="1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[C]</a:t>
              </a:r>
              <a:endParaRPr lang="ru-RU" sz="1600" b="1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xdr:grp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E161A9E8-7195-4AE7-BF75-BD9EA784A2C8}"/>
              </a:ext>
            </a:extLst>
          </xdr:cNvPr>
          <xdr:cNvSpPr txBox="1"/>
        </xdr:nvSpPr>
        <xdr:spPr>
          <a:xfrm>
            <a:off x="7010790" y="6675200"/>
            <a:ext cx="531486" cy="307528"/>
          </a:xfrm>
          <a:prstGeom prst="rect">
            <a:avLst/>
          </a:prstGeom>
          <a:solidFill>
            <a:sysClr val="window" lastClr="FFFFFF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0" rIns="0" bIns="0" rtlCol="0" anchor="t">
            <a:noAutofit/>
          </a:bodyPr>
          <a:lstStyle/>
          <a:p>
            <a:r>
              <a:rPr lang="en-US" sz="1600" b="1" i="1">
                <a:latin typeface="Cambria Math" panose="02040503050406030204" pitchFamily="18" charset="0"/>
                <a:ea typeface="Cambria Math" panose="02040503050406030204" pitchFamily="18" charset="0"/>
              </a:rPr>
              <a:t>L, </a:t>
            </a:r>
            <a:r>
              <a:rPr lang="en-US" sz="1600" b="1" i="1" baseline="0">
                <a:latin typeface="Cambria Math" panose="02040503050406030204" pitchFamily="18" charset="0"/>
                <a:ea typeface="Cambria Math" panose="02040503050406030204" pitchFamily="18" charset="0"/>
              </a:rPr>
              <a:t>[m]</a:t>
            </a:r>
            <a:endParaRPr lang="ru-RU" sz="1600" b="1" i="1">
              <a:latin typeface="Cambria Math" panose="02040503050406030204" pitchFamily="18" charset="0"/>
              <a:ea typeface="Cambria Math" panose="02040503050406030204" pitchFamily="18" charset="0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AJ17"/>
  <sheetViews>
    <sheetView tabSelected="1" zoomScale="85" zoomScaleNormal="85" workbookViewId="0">
      <selection activeCell="L18" sqref="L18"/>
    </sheetView>
  </sheetViews>
  <sheetFormatPr defaultRowHeight="14.4" x14ac:dyDescent="0.3"/>
  <cols>
    <col min="4" max="4" width="5.88671875" customWidth="1"/>
    <col min="5" max="5" width="5.6640625" customWidth="1"/>
    <col min="6" max="36" width="11.44140625" bestFit="1" customWidth="1"/>
  </cols>
  <sheetData>
    <row r="2" spans="1:36" ht="15" thickBot="1" x14ac:dyDescent="0.35"/>
    <row r="3" spans="1:36" ht="15.6" thickTop="1" thickBot="1" x14ac:dyDescent="0.35">
      <c r="B3" s="3" t="s">
        <v>0</v>
      </c>
      <c r="C3" s="3">
        <v>0.1</v>
      </c>
    </row>
    <row r="4" spans="1:36" ht="15.6" thickTop="1" thickBot="1" x14ac:dyDescent="0.35">
      <c r="B4" s="3" t="s">
        <v>1</v>
      </c>
      <c r="C4" s="4">
        <f>C3/30</f>
        <v>3.3333333333333335E-3</v>
      </c>
    </row>
    <row r="5" spans="1:36" ht="15.6" thickTop="1" thickBot="1" x14ac:dyDescent="0.35">
      <c r="B5" s="3" t="s">
        <v>2</v>
      </c>
      <c r="C5" s="4">
        <f>(C8*C9*C4^2)/(2*C10)</f>
        <v>0.4333333333333334</v>
      </c>
    </row>
    <row r="6" spans="1:36" ht="15.6" thickTop="1" thickBot="1" x14ac:dyDescent="0.35">
      <c r="B6" s="3" t="s">
        <v>3</v>
      </c>
      <c r="C6" s="3">
        <v>5000</v>
      </c>
      <c r="D6">
        <v>1565.6333333333337</v>
      </c>
      <c r="F6" s="5"/>
    </row>
    <row r="7" spans="1:36" ht="15.6" thickTop="1" thickBot="1" x14ac:dyDescent="0.35">
      <c r="A7" s="5"/>
      <c r="B7" s="6"/>
      <c r="C7" s="6"/>
      <c r="D7" s="5"/>
    </row>
    <row r="8" spans="1:36" ht="15.6" thickTop="1" thickBot="1" x14ac:dyDescent="0.35">
      <c r="B8" s="3" t="s">
        <v>4</v>
      </c>
      <c r="C8" s="3">
        <v>460</v>
      </c>
    </row>
    <row r="9" spans="1:36" ht="15.6" thickTop="1" thickBot="1" x14ac:dyDescent="0.35">
      <c r="B9" s="3" t="s">
        <v>5</v>
      </c>
      <c r="C9" s="3">
        <v>7800</v>
      </c>
    </row>
    <row r="10" spans="1:36" ht="15.6" thickTop="1" thickBot="1" x14ac:dyDescent="0.35">
      <c r="B10" s="3" t="s">
        <v>6</v>
      </c>
      <c r="C10" s="3">
        <v>46</v>
      </c>
    </row>
    <row r="11" spans="1:36" ht="15.6" thickTop="1" thickBot="1" x14ac:dyDescent="0.35">
      <c r="A11" s="5"/>
      <c r="B11" s="6"/>
      <c r="C11" s="6"/>
      <c r="F11" s="1">
        <v>1</v>
      </c>
      <c r="G11" s="1">
        <f>F11+1</f>
        <v>2</v>
      </c>
      <c r="H11" s="1">
        <f t="shared" ref="H11:AJ11" si="0">G11+1</f>
        <v>3</v>
      </c>
      <c r="I11" s="1">
        <f t="shared" si="0"/>
        <v>4</v>
      </c>
      <c r="J11" s="1">
        <f t="shared" si="0"/>
        <v>5</v>
      </c>
      <c r="K11" s="1">
        <f t="shared" si="0"/>
        <v>6</v>
      </c>
      <c r="L11" s="1">
        <f t="shared" si="0"/>
        <v>7</v>
      </c>
      <c r="M11" s="1">
        <f t="shared" si="0"/>
        <v>8</v>
      </c>
      <c r="N11" s="1">
        <f t="shared" si="0"/>
        <v>9</v>
      </c>
      <c r="O11" s="1">
        <f t="shared" si="0"/>
        <v>10</v>
      </c>
      <c r="P11" s="1">
        <f t="shared" si="0"/>
        <v>11</v>
      </c>
      <c r="Q11" s="1">
        <f t="shared" si="0"/>
        <v>12</v>
      </c>
      <c r="R11" s="1">
        <f t="shared" si="0"/>
        <v>13</v>
      </c>
      <c r="S11" s="1">
        <f t="shared" si="0"/>
        <v>14</v>
      </c>
      <c r="T11" s="1">
        <f t="shared" si="0"/>
        <v>15</v>
      </c>
      <c r="U11" s="1">
        <f t="shared" si="0"/>
        <v>16</v>
      </c>
      <c r="V11" s="1">
        <f t="shared" si="0"/>
        <v>17</v>
      </c>
      <c r="W11" s="1">
        <f t="shared" si="0"/>
        <v>18</v>
      </c>
      <c r="X11" s="1">
        <f t="shared" si="0"/>
        <v>19</v>
      </c>
      <c r="Y11" s="1">
        <f t="shared" si="0"/>
        <v>20</v>
      </c>
      <c r="Z11" s="1">
        <f t="shared" si="0"/>
        <v>21</v>
      </c>
      <c r="AA11" s="1">
        <f t="shared" si="0"/>
        <v>22</v>
      </c>
      <c r="AB11" s="1">
        <f t="shared" si="0"/>
        <v>23</v>
      </c>
      <c r="AC11" s="1">
        <f t="shared" si="0"/>
        <v>24</v>
      </c>
      <c r="AD11" s="1">
        <f t="shared" si="0"/>
        <v>25</v>
      </c>
      <c r="AE11" s="1">
        <f t="shared" si="0"/>
        <v>26</v>
      </c>
      <c r="AF11" s="1">
        <f t="shared" si="0"/>
        <v>27</v>
      </c>
      <c r="AG11" s="1">
        <f t="shared" si="0"/>
        <v>28</v>
      </c>
      <c r="AH11" s="1">
        <f t="shared" si="0"/>
        <v>29</v>
      </c>
      <c r="AI11" s="1">
        <f t="shared" si="0"/>
        <v>30</v>
      </c>
      <c r="AJ11" s="1">
        <f t="shared" si="0"/>
        <v>31</v>
      </c>
    </row>
    <row r="12" spans="1:36" ht="15.6" thickTop="1" thickBot="1" x14ac:dyDescent="0.35">
      <c r="B12" s="3" t="s">
        <v>11</v>
      </c>
      <c r="C12" s="3">
        <v>30000000</v>
      </c>
      <c r="E12" t="s">
        <v>0</v>
      </c>
      <c r="F12" s="2">
        <v>0</v>
      </c>
      <c r="G12" s="2">
        <f>F12+$C$4</f>
        <v>3.3333333333333335E-3</v>
      </c>
      <c r="H12" s="2">
        <f t="shared" ref="H12:AJ12" si="1">G12+$C$4</f>
        <v>6.6666666666666671E-3</v>
      </c>
      <c r="I12" s="2">
        <f t="shared" si="1"/>
        <v>0.01</v>
      </c>
      <c r="J12" s="2">
        <f t="shared" si="1"/>
        <v>1.3333333333333334E-2</v>
      </c>
      <c r="K12" s="2">
        <f t="shared" si="1"/>
        <v>1.6666666666666666E-2</v>
      </c>
      <c r="L12" s="2">
        <f t="shared" si="1"/>
        <v>0.02</v>
      </c>
      <c r="M12" s="2">
        <f t="shared" si="1"/>
        <v>2.3333333333333334E-2</v>
      </c>
      <c r="N12" s="2">
        <f t="shared" si="1"/>
        <v>2.6666666666666668E-2</v>
      </c>
      <c r="O12" s="2">
        <f t="shared" si="1"/>
        <v>3.0000000000000002E-2</v>
      </c>
      <c r="P12" s="2">
        <f t="shared" si="1"/>
        <v>3.3333333333333333E-2</v>
      </c>
      <c r="Q12" s="2">
        <f t="shared" si="1"/>
        <v>3.6666666666666667E-2</v>
      </c>
      <c r="R12" s="2">
        <f t="shared" si="1"/>
        <v>0.04</v>
      </c>
      <c r="S12" s="2">
        <f t="shared" si="1"/>
        <v>4.3333333333333335E-2</v>
      </c>
      <c r="T12" s="2">
        <f t="shared" si="1"/>
        <v>4.6666666666666669E-2</v>
      </c>
      <c r="U12" s="2">
        <f t="shared" si="1"/>
        <v>0.05</v>
      </c>
      <c r="V12" s="2">
        <f t="shared" si="1"/>
        <v>5.3333333333333337E-2</v>
      </c>
      <c r="W12" s="2">
        <f t="shared" si="1"/>
        <v>5.6666666666666671E-2</v>
      </c>
      <c r="X12" s="2">
        <f t="shared" si="1"/>
        <v>6.0000000000000005E-2</v>
      </c>
      <c r="Y12" s="2">
        <f t="shared" si="1"/>
        <v>6.3333333333333339E-2</v>
      </c>
      <c r="Z12" s="2">
        <f t="shared" si="1"/>
        <v>6.6666666666666666E-2</v>
      </c>
      <c r="AA12" s="2">
        <f t="shared" si="1"/>
        <v>6.9999999999999993E-2</v>
      </c>
      <c r="AB12" s="2">
        <f t="shared" si="1"/>
        <v>7.333333333333332E-2</v>
      </c>
      <c r="AC12" s="2">
        <f t="shared" si="1"/>
        <v>7.6666666666666647E-2</v>
      </c>
      <c r="AD12" s="2">
        <f t="shared" si="1"/>
        <v>7.9999999999999974E-2</v>
      </c>
      <c r="AE12" s="2">
        <f t="shared" si="1"/>
        <v>8.3333333333333301E-2</v>
      </c>
      <c r="AF12" s="2">
        <f t="shared" si="1"/>
        <v>8.6666666666666628E-2</v>
      </c>
      <c r="AG12" s="2">
        <f t="shared" si="1"/>
        <v>8.9999999999999955E-2</v>
      </c>
      <c r="AH12" s="2">
        <f t="shared" si="1"/>
        <v>9.3333333333333282E-2</v>
      </c>
      <c r="AI12" s="2">
        <f t="shared" si="1"/>
        <v>9.6666666666666609E-2</v>
      </c>
      <c r="AJ12" s="2">
        <f t="shared" si="1"/>
        <v>9.9999999999999936E-2</v>
      </c>
    </row>
    <row r="13" spans="1:36" ht="15.6" thickTop="1" thickBot="1" x14ac:dyDescent="0.35">
      <c r="B13" s="3" t="s">
        <v>8</v>
      </c>
      <c r="C13" s="3">
        <v>100</v>
      </c>
      <c r="E13" t="s">
        <v>7</v>
      </c>
      <c r="F13" s="8">
        <f>G13+(F16*C4^2)/C10</f>
        <v>317.28644179827467</v>
      </c>
      <c r="G13" s="8">
        <v>310.04006498668048</v>
      </c>
      <c r="H13" s="8">
        <v>302.79398541937314</v>
      </c>
      <c r="I13" s="8">
        <v>295.54820225379268</v>
      </c>
      <c r="J13" s="8">
        <v>288.30271380716249</v>
      </c>
      <c r="K13" s="8">
        <v>281.05751756134896</v>
      </c>
      <c r="L13" s="8">
        <v>273.81261016986622</v>
      </c>
      <c r="M13" s="8">
        <v>266.56798746753736</v>
      </c>
      <c r="N13" s="8">
        <v>259.3236444820854</v>
      </c>
      <c r="O13" s="8">
        <v>252.07957544848173</v>
      </c>
      <c r="P13" s="8">
        <v>244.83577382499837</v>
      </c>
      <c r="Q13" s="8">
        <v>237.59223231207244</v>
      </c>
      <c r="R13" s="8">
        <v>230.34894287264814</v>
      </c>
      <c r="S13" s="8">
        <v>223.10589675533231</v>
      </c>
      <c r="T13" s="8">
        <v>215.8630845188076</v>
      </c>
      <c r="U13" s="8">
        <v>208.62049605900393</v>
      </c>
      <c r="V13" s="8">
        <v>201.37812063731982</v>
      </c>
      <c r="W13" s="8">
        <v>194.13594691148788</v>
      </c>
      <c r="X13" s="8">
        <v>186.89396296729871</v>
      </c>
      <c r="Y13" s="8">
        <v>179.65215635279645</v>
      </c>
      <c r="Z13" s="8">
        <v>172.4105141131601</v>
      </c>
      <c r="AA13" s="8">
        <v>165.16902282782749</v>
      </c>
      <c r="AB13" s="8">
        <v>157.92766864815266</v>
      </c>
      <c r="AC13" s="8">
        <v>150.68643733702419</v>
      </c>
      <c r="AD13" s="8">
        <v>143.44531430888503</v>
      </c>
      <c r="AE13" s="8">
        <v>136.20428467138368</v>
      </c>
      <c r="AF13" s="8">
        <v>128.96333326731494</v>
      </c>
      <c r="AG13" s="8">
        <v>121.72244471782113</v>
      </c>
      <c r="AH13" s="8">
        <v>114.48160346578806</v>
      </c>
      <c r="AI13" s="8">
        <v>107.2407938200989</v>
      </c>
      <c r="AJ13" s="8">
        <v>100</v>
      </c>
    </row>
    <row r="14" spans="1:36" ht="15" thickTop="1" x14ac:dyDescent="0.3"/>
    <row r="15" spans="1:36" x14ac:dyDescent="0.3">
      <c r="E15" t="s">
        <v>9</v>
      </c>
      <c r="G15">
        <f t="shared" ref="G15:AI15" si="2">G13+(($C$10*$C$5)/($C$9*$C$8))*((H13-2*G13+F13)/($C$4^2))</f>
        <v>310.04021360882393</v>
      </c>
      <c r="H15">
        <f t="shared" si="2"/>
        <v>302.79413362023661</v>
      </c>
      <c r="I15">
        <f t="shared" si="2"/>
        <v>295.54834961326782</v>
      </c>
      <c r="J15">
        <f t="shared" si="2"/>
        <v>288.30285990757079</v>
      </c>
      <c r="K15">
        <f t="shared" si="2"/>
        <v>281.05766198851438</v>
      </c>
      <c r="L15">
        <f t="shared" si="2"/>
        <v>273.81275251444316</v>
      </c>
      <c r="M15">
        <f t="shared" si="2"/>
        <v>266.56812732597581</v>
      </c>
      <c r="N15">
        <f t="shared" si="2"/>
        <v>259.32378145800953</v>
      </c>
      <c r="O15">
        <f t="shared" si="2"/>
        <v>252.0797091535419</v>
      </c>
      <c r="P15">
        <f t="shared" si="2"/>
        <v>244.8359038802771</v>
      </c>
      <c r="Q15">
        <f t="shared" si="2"/>
        <v>237.59235834882327</v>
      </c>
      <c r="R15">
        <f t="shared" si="2"/>
        <v>230.34906453370238</v>
      </c>
      <c r="S15">
        <f t="shared" si="2"/>
        <v>223.10601369572788</v>
      </c>
      <c r="T15">
        <f t="shared" si="2"/>
        <v>215.86319640716812</v>
      </c>
      <c r="U15">
        <f t="shared" si="2"/>
        <v>208.62060257806371</v>
      </c>
      <c r="V15">
        <f t="shared" si="2"/>
        <v>201.37822148524589</v>
      </c>
      <c r="W15">
        <f t="shared" si="2"/>
        <v>194.13604180230925</v>
      </c>
      <c r="X15">
        <f t="shared" si="2"/>
        <v>186.89405163214218</v>
      </c>
      <c r="Y15">
        <f t="shared" si="2"/>
        <v>179.6522385402294</v>
      </c>
      <c r="Z15">
        <f t="shared" si="2"/>
        <v>172.41058959031199</v>
      </c>
      <c r="AA15">
        <f t="shared" si="2"/>
        <v>165.16909138065637</v>
      </c>
      <c r="AB15">
        <f t="shared" si="2"/>
        <v>157.92773008242585</v>
      </c>
      <c r="AC15">
        <f t="shared" si="2"/>
        <v>150.68649147851886</v>
      </c>
      <c r="AD15">
        <f t="shared" si="2"/>
        <v>143.44536100420393</v>
      </c>
      <c r="AE15">
        <f t="shared" si="2"/>
        <v>136.2043237881</v>
      </c>
      <c r="AF15">
        <f t="shared" si="2"/>
        <v>128.9633646946024</v>
      </c>
      <c r="AG15">
        <f t="shared" si="2"/>
        <v>121.7224683665515</v>
      </c>
      <c r="AH15">
        <f t="shared" si="2"/>
        <v>114.48161926896002</v>
      </c>
      <c r="AI15">
        <f t="shared" si="2"/>
        <v>107.24080173289403</v>
      </c>
      <c r="AJ15">
        <v>100</v>
      </c>
    </row>
    <row r="16" spans="1:36" x14ac:dyDescent="0.3">
      <c r="E16" t="s">
        <v>10</v>
      </c>
      <c r="F16" s="7">
        <f>C12</f>
        <v>30000000</v>
      </c>
      <c r="G16" s="7">
        <f>-$C$10*((G13-F13)/$C$4^2)</f>
        <v>29999999.999999937</v>
      </c>
      <c r="H16" s="7">
        <f t="shared" ref="H16:AJ16" si="3">-$C$10*((H13-G13)/$C$4^2)</f>
        <v>29998769.408652354</v>
      </c>
      <c r="I16" s="7">
        <f t="shared" si="3"/>
        <v>29997542.305503108</v>
      </c>
      <c r="J16" s="7">
        <f t="shared" si="3"/>
        <v>29996322.169048984</v>
      </c>
      <c r="K16" s="7">
        <f t="shared" si="3"/>
        <v>29995112.457668014</v>
      </c>
      <c r="L16" s="7">
        <f t="shared" si="3"/>
        <v>29993916.60073854</v>
      </c>
      <c r="M16" s="7">
        <f t="shared" si="3"/>
        <v>29992737.98764145</v>
      </c>
      <c r="N16" s="7">
        <f t="shared" si="3"/>
        <v>29991579.95977113</v>
      </c>
      <c r="O16" s="7">
        <f t="shared" si="3"/>
        <v>29990445.799119167</v>
      </c>
      <c r="P16" s="7">
        <f t="shared" si="3"/>
        <v>29989338.721221123</v>
      </c>
      <c r="Q16" s="7">
        <f t="shared" si="3"/>
        <v>29988261.863513343</v>
      </c>
      <c r="R16" s="7">
        <f t="shared" si="3"/>
        <v>29987218.279216606</v>
      </c>
      <c r="S16" s="7">
        <f t="shared" si="3"/>
        <v>29986210.925687522</v>
      </c>
      <c r="T16" s="7">
        <f t="shared" si="3"/>
        <v>29985242.65921231</v>
      </c>
      <c r="U16" s="7">
        <f t="shared" si="3"/>
        <v>29984316.223587189</v>
      </c>
      <c r="V16" s="7">
        <f t="shared" si="3"/>
        <v>29983434.245772175</v>
      </c>
      <c r="W16" s="7">
        <f t="shared" si="3"/>
        <v>29982599.224944256</v>
      </c>
      <c r="X16" s="7">
        <f t="shared" si="3"/>
        <v>29981813.528943166</v>
      </c>
      <c r="Y16" s="7">
        <f t="shared" si="3"/>
        <v>29981079.384039316</v>
      </c>
      <c r="Z16" s="7">
        <f t="shared" si="3"/>
        <v>29980398.872094478</v>
      </c>
      <c r="AA16" s="7">
        <f t="shared" si="3"/>
        <v>29979773.921277016</v>
      </c>
      <c r="AB16" s="7">
        <f t="shared" si="3"/>
        <v>29979206.303853787</v>
      </c>
      <c r="AC16" s="7">
        <f t="shared" si="3"/>
        <v>29978697.628071874</v>
      </c>
      <c r="AD16" s="7">
        <f t="shared" si="3"/>
        <v>29978249.336496104</v>
      </c>
      <c r="AE16" s="7">
        <f t="shared" si="3"/>
        <v>29977862.699255604</v>
      </c>
      <c r="AF16" s="7">
        <f t="shared" si="3"/>
        <v>29977538.812844571</v>
      </c>
      <c r="AG16" s="7">
        <f t="shared" si="3"/>
        <v>29977278.594904341</v>
      </c>
      <c r="AH16" s="7">
        <f t="shared" si="3"/>
        <v>29977082.783416942</v>
      </c>
      <c r="AI16" s="7">
        <f t="shared" si="3"/>
        <v>29976951.933153097</v>
      </c>
      <c r="AJ16" s="7">
        <f t="shared" si="3"/>
        <v>29976886.415209442</v>
      </c>
    </row>
    <row r="17" spans="5:5" x14ac:dyDescent="0.3">
      <c r="E17" t="s">
        <v>12</v>
      </c>
    </row>
  </sheetData>
  <conditionalFormatting sqref="F13:AJ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Николай</dc:creator>
  <cp:lastModifiedBy>Николай</cp:lastModifiedBy>
  <dcterms:created xsi:type="dcterms:W3CDTF">2015-06-05T18:19:34Z</dcterms:created>
  <dcterms:modified xsi:type="dcterms:W3CDTF">2021-10-11T19:26:28Z</dcterms:modified>
</cp:coreProperties>
</file>