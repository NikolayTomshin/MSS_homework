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иблиотека\МСС\"/>
    </mc:Choice>
  </mc:AlternateContent>
  <xr:revisionPtr revIDLastSave="0" documentId="13_ncr:1_{86C8E1B9-E598-4705-9D89-E606D5A8844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Лист1" sheetId="1" r:id="rId1"/>
    <sheet name="Лист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1" l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C4" i="1" l="1"/>
  <c r="AL13" i="1"/>
  <c r="AL16" i="1" s="1"/>
  <c r="AK15" i="1" s="1"/>
  <c r="C5" i="1" l="1"/>
  <c r="G12" i="1"/>
  <c r="AG15" i="1" l="1"/>
  <c r="Y15" i="1"/>
  <c r="Q15" i="1"/>
  <c r="I15" i="1"/>
  <c r="AF15" i="1"/>
  <c r="X15" i="1"/>
  <c r="P15" i="1"/>
  <c r="AE15" i="1"/>
  <c r="W15" i="1"/>
  <c r="O15" i="1"/>
  <c r="V15" i="1"/>
  <c r="N15" i="1"/>
  <c r="AC15" i="1"/>
  <c r="U15" i="1"/>
  <c r="M15" i="1"/>
  <c r="AJ15" i="1"/>
  <c r="T15" i="1"/>
  <c r="AA15" i="1"/>
  <c r="K15" i="1"/>
  <c r="AH15" i="1"/>
  <c r="Z15" i="1"/>
  <c r="J15" i="1"/>
  <c r="AD15" i="1"/>
  <c r="AB15" i="1"/>
  <c r="L15" i="1"/>
  <c r="AI15" i="1"/>
  <c r="S15" i="1"/>
  <c r="R15" i="1"/>
  <c r="Y2" i="2"/>
  <c r="Z2" i="2" s="1"/>
  <c r="AA2" i="2" s="1"/>
  <c r="AB2" i="2" s="1"/>
  <c r="AC2" i="2" s="1"/>
  <c r="AD2" i="2" s="1"/>
  <c r="AE2" i="2" s="1"/>
  <c r="AF2" i="2" s="1"/>
  <c r="R2" i="2"/>
  <c r="S2" i="2" s="1"/>
  <c r="T2" i="2" s="1"/>
  <c r="U2" i="2" s="1"/>
  <c r="V2" i="2" s="1"/>
  <c r="W2" i="2" s="1"/>
  <c r="X2" i="2" s="1"/>
  <c r="D2" i="2"/>
  <c r="E2" i="2" s="1"/>
  <c r="F2" i="2" s="1"/>
  <c r="G2" i="2" s="1"/>
  <c r="H2" i="2" s="1"/>
  <c r="I2" i="2" s="1"/>
  <c r="J2" i="2" s="1"/>
  <c r="K2" i="2" s="1"/>
  <c r="L2" i="2" s="1"/>
  <c r="M2" i="2" s="1"/>
  <c r="N2" i="2" s="1"/>
  <c r="O2" i="2" s="1"/>
  <c r="P2" i="2" s="1"/>
  <c r="Q2" i="2" s="1"/>
  <c r="C2" i="2"/>
  <c r="F13" i="1" l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AK11" i="1" s="1"/>
  <c r="G15" i="1" l="1"/>
  <c r="F16" i="1" l="1"/>
  <c r="H12" i="1"/>
  <c r="I12" i="1" s="1"/>
  <c r="H15" i="1"/>
  <c r="J12" i="1" l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K12" i="1" s="1"/>
  <c r="AL12" i="1" s="1"/>
</calcChain>
</file>

<file path=xl/sharedStrings.xml><?xml version="1.0" encoding="utf-8"?>
<sst xmlns="http://schemas.openxmlformats.org/spreadsheetml/2006/main" count="18" uniqueCount="17">
  <si>
    <t>L</t>
  </si>
  <si>
    <t>dx</t>
  </si>
  <si>
    <t>dt</t>
  </si>
  <si>
    <t>t</t>
  </si>
  <si>
    <t>Cp</t>
  </si>
  <si>
    <t>ro</t>
  </si>
  <si>
    <t>lambda</t>
  </si>
  <si>
    <t>T</t>
  </si>
  <si>
    <t>T_iter</t>
  </si>
  <si>
    <t>q</t>
  </si>
  <si>
    <t>alpha_start</t>
  </si>
  <si>
    <t>alpha_end</t>
  </si>
  <si>
    <t>Tgas_end</t>
  </si>
  <si>
    <t>Tgas_start</t>
  </si>
  <si>
    <t>Gas start</t>
  </si>
  <si>
    <t>Gas_end</t>
  </si>
  <si>
    <t>линейная плотность потока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</si>
</sst>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000"/>
    <numFmt numFmtId="165" formatCode="0.000"/>
    <numFmt numFmtId="167" formatCode="_-* #,##0.0\ _₽_-;\-* #,##0.0\ _₽_-;_-* &quot;-&quot;???\ _₽_-;_-@_-"/>
    <numFmt numFmtId="168" formatCode="_-* #,##0.0\ _₽_-;\-* #,##0.0\ _₽_-;_-* &quot;-&quot;?\ _₽_-;_-@_-"/>
    <numFmt numFmtId="169" formatCode="_-* #,##0.000\ _₽_-;\-* #,##0.000\ _₽_-;_-* &quot;-&quot;???\ _₽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 style="thick">
        <color auto="1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2" xfId="0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0" borderId="0" xfId="0" applyBorder="1"/>
    <xf numFmtId="0" fontId="0" fillId="0" borderId="3" xfId="0" applyBorder="1" applyAlignment="1">
      <alignment horizontal="center" vertical="center"/>
    </xf>
    <xf numFmtId="167" fontId="0" fillId="0" borderId="0" xfId="0" applyNumberFormat="1"/>
    <xf numFmtId="0" fontId="0" fillId="0" borderId="4" xfId="0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0" xfId="0" applyNumberFormat="1"/>
    <xf numFmtId="168" fontId="0" fillId="0" borderId="0" xfId="0" applyNumberFormat="1"/>
    <xf numFmtId="0" fontId="2" fillId="0" borderId="0" xfId="0" applyFont="1"/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2" xfId="0" applyBorder="1" applyAlignment="1">
      <alignment horizontal="center" vertical="center"/>
    </xf>
    <xf numFmtId="167" fontId="0" fillId="0" borderId="0" xfId="0" applyNumberFormat="1"/>
    <xf numFmtId="169" fontId="0" fillId="0" borderId="0" xfId="0" applyNumberFormat="1"/>
    <xf numFmtId="11" fontId="0" fillId="0" borderId="0" xfId="1" applyNumberFormat="1" applyFont="1"/>
  </cellXfs>
  <cellStyles count="3">
    <cellStyle name="Обычный" xfId="0" builtinId="0"/>
    <cellStyle name="Финансовый" xfId="1" builtinId="3"/>
    <cellStyle name="Финансовый 2" xfId="2" xr:uid="{81646D61-3EAC-41B0-8176-C00E0D74643C}"/>
  </cellStyles>
  <dxfs count="0"/>
  <tableStyles count="0" defaultTableStyle="TableStyleMedium2" defaultPivotStyle="PivotStyleLight16"/>
  <colors>
    <mruColors>
      <color rgb="FF1000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Лист1!$F$12:$AL$12</c:f>
              <c:numCache>
                <c:formatCode>0.0000</c:formatCode>
                <c:ptCount val="33"/>
                <c:pt idx="0">
                  <c:v>0</c:v>
                </c:pt>
                <c:pt idx="1">
                  <c:v>2.5000000000000001E-2</c:v>
                </c:pt>
                <c:pt idx="2">
                  <c:v>2.8333333333333335E-2</c:v>
                </c:pt>
                <c:pt idx="3">
                  <c:v>3.1666666666666669E-2</c:v>
                </c:pt>
                <c:pt idx="4">
                  <c:v>3.5000000000000003E-2</c:v>
                </c:pt>
                <c:pt idx="5">
                  <c:v>3.8333333333333337E-2</c:v>
                </c:pt>
                <c:pt idx="6">
                  <c:v>4.1666666666666671E-2</c:v>
                </c:pt>
                <c:pt idx="7">
                  <c:v>4.5000000000000005E-2</c:v>
                </c:pt>
                <c:pt idx="8">
                  <c:v>4.8333333333333339E-2</c:v>
                </c:pt>
                <c:pt idx="9">
                  <c:v>5.1666666666666673E-2</c:v>
                </c:pt>
                <c:pt idx="10">
                  <c:v>5.5000000000000007E-2</c:v>
                </c:pt>
                <c:pt idx="11">
                  <c:v>5.8333333333333341E-2</c:v>
                </c:pt>
                <c:pt idx="12">
                  <c:v>6.1666666666666675E-2</c:v>
                </c:pt>
                <c:pt idx="13">
                  <c:v>6.5000000000000002E-2</c:v>
                </c:pt>
                <c:pt idx="14">
                  <c:v>6.8333333333333329E-2</c:v>
                </c:pt>
                <c:pt idx="15">
                  <c:v>7.1666666666666656E-2</c:v>
                </c:pt>
                <c:pt idx="16">
                  <c:v>7.4999999999999983E-2</c:v>
                </c:pt>
                <c:pt idx="17">
                  <c:v>7.833333333333331E-2</c:v>
                </c:pt>
                <c:pt idx="18">
                  <c:v>8.1666666666666637E-2</c:v>
                </c:pt>
                <c:pt idx="19">
                  <c:v>8.4999999999999964E-2</c:v>
                </c:pt>
                <c:pt idx="20">
                  <c:v>8.8333333333333292E-2</c:v>
                </c:pt>
                <c:pt idx="21">
                  <c:v>9.1666666666666619E-2</c:v>
                </c:pt>
                <c:pt idx="22">
                  <c:v>9.4999999999999946E-2</c:v>
                </c:pt>
                <c:pt idx="23">
                  <c:v>9.8333333333333273E-2</c:v>
                </c:pt>
                <c:pt idx="24">
                  <c:v>0.1016666666666666</c:v>
                </c:pt>
                <c:pt idx="25">
                  <c:v>0.10499999999999993</c:v>
                </c:pt>
                <c:pt idx="26">
                  <c:v>0.10833333333333325</c:v>
                </c:pt>
                <c:pt idx="27">
                  <c:v>0.11166666666666658</c:v>
                </c:pt>
                <c:pt idx="28">
                  <c:v>0.11499999999999991</c:v>
                </c:pt>
                <c:pt idx="29">
                  <c:v>0.11833333333333323</c:v>
                </c:pt>
                <c:pt idx="30">
                  <c:v>0.12166666666666656</c:v>
                </c:pt>
                <c:pt idx="31">
                  <c:v>0.12499999999999989</c:v>
                </c:pt>
                <c:pt idx="32">
                  <c:v>0.14999999999999988</c:v>
                </c:pt>
              </c:numCache>
            </c:numRef>
          </c:xVal>
          <c:yVal>
            <c:numRef>
              <c:f>Лист1!$F$13:$AL$13</c:f>
              <c:numCache>
                <c:formatCode>_-* #\ ##0.0\ _₽_-;\-* #\ ##0.0\ _₽_-;_-* "-"???\ _₽_-;_-@_-</c:formatCode>
                <c:ptCount val="33"/>
                <c:pt idx="0">
                  <c:v>600</c:v>
                </c:pt>
                <c:pt idx="1">
                  <c:v>461.79293417601968</c:v>
                </c:pt>
                <c:pt idx="2">
                  <c:v>458.4587650500373</c:v>
                </c:pt>
                <c:pt idx="3">
                  <c:v>455.12885795898421</c:v>
                </c:pt>
                <c:pt idx="4">
                  <c:v>451.80330471718122</c:v>
                </c:pt>
                <c:pt idx="5">
                  <c:v>448.48219249378656</c:v>
                </c:pt>
                <c:pt idx="6">
                  <c:v>445.1656039074129</c:v>
                </c:pt>
                <c:pt idx="7">
                  <c:v>441.85361669388169</c:v>
                </c:pt>
                <c:pt idx="8">
                  <c:v>438.54630392603372</c:v>
                </c:pt>
                <c:pt idx="9">
                  <c:v>435.24373358150638</c:v>
                </c:pt>
                <c:pt idx="10">
                  <c:v>431.94596887574539</c:v>
                </c:pt>
                <c:pt idx="11">
                  <c:v>428.65306774468002</c:v>
                </c:pt>
                <c:pt idx="12">
                  <c:v>425.36508327468937</c:v>
                </c:pt>
                <c:pt idx="13">
                  <c:v>422.08206311891502</c:v>
                </c:pt>
                <c:pt idx="14">
                  <c:v>418.80405000435735</c:v>
                </c:pt>
                <c:pt idx="15">
                  <c:v>415.53108110367333</c:v>
                </c:pt>
                <c:pt idx="16">
                  <c:v>412.26318859681942</c:v>
                </c:pt>
                <c:pt idx="17">
                  <c:v>409.00039902240451</c:v>
                </c:pt>
                <c:pt idx="18">
                  <c:v>405.74273386946965</c:v>
                </c:pt>
                <c:pt idx="19">
                  <c:v>402.49020893371096</c:v>
                </c:pt>
                <c:pt idx="20">
                  <c:v>399.24283491416293</c:v>
                </c:pt>
                <c:pt idx="21">
                  <c:v>396.00061679981928</c:v>
                </c:pt>
                <c:pt idx="22">
                  <c:v>392.76355444620151</c:v>
                </c:pt>
                <c:pt idx="23">
                  <c:v>389.53164201707693</c:v>
                </c:pt>
                <c:pt idx="24">
                  <c:v>386.30486851713363</c:v>
                </c:pt>
                <c:pt idx="25">
                  <c:v>383.08321731165842</c:v>
                </c:pt>
                <c:pt idx="26">
                  <c:v>379.86666659375146</c:v>
                </c:pt>
                <c:pt idx="27">
                  <c:v>376.65518900205416</c:v>
                </c:pt>
                <c:pt idx="28">
                  <c:v>373.44875200403129</c:v>
                </c:pt>
                <c:pt idx="29">
                  <c:v>370.24731762824132</c:v>
                </c:pt>
                <c:pt idx="30">
                  <c:v>367.05084274906073</c:v>
                </c:pt>
                <c:pt idx="31">
                  <c:v>363.85927894571341</c:v>
                </c:pt>
                <c:pt idx="32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7B-4090-B084-6431B7EC1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783168"/>
        <c:axId val="251782336"/>
      </c:scatterChart>
      <c:valAx>
        <c:axId val="251783168"/>
        <c:scaling>
          <c:orientation val="minMax"/>
          <c:max val="0.150000000000000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2336"/>
        <c:crosses val="autoZero"/>
        <c:crossBetween val="midCat"/>
      </c:valAx>
      <c:valAx>
        <c:axId val="2517823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1783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147917</xdr:colOff>
      <xdr:row>18</xdr:row>
      <xdr:rowOff>26893</xdr:rowOff>
    </xdr:from>
    <xdr:to>
      <xdr:col>11</xdr:col>
      <xdr:colOff>564776</xdr:colOff>
      <xdr:row>40</xdr:row>
      <xdr:rowOff>143434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021AEB90-7D7E-4634-A1E8-59849D075C43}"/>
            </a:ext>
          </a:extLst>
        </xdr:cNvPr>
        <xdr:cNvGrpSpPr/>
      </xdr:nvGrpSpPr>
      <xdr:grpSpPr>
        <a:xfrm>
          <a:off x="2342477" y="3509233"/>
          <a:ext cx="4120179" cy="4139901"/>
          <a:chOff x="3151093" y="2967317"/>
          <a:chExt cx="4459942" cy="4061012"/>
        </a:xfrm>
      </xdr:grpSpPr>
      <xdr:grpSp>
        <xdr:nvGrpSpPr>
          <xdr:cNvPr id="5" name="Группа 4">
            <a:extLst>
              <a:ext uri="{FF2B5EF4-FFF2-40B4-BE49-F238E27FC236}">
                <a16:creationId xmlns:a16="http://schemas.microsoft.com/office/drawing/2014/main" id="{02333DC3-F282-4FA4-9E5E-E159EF77C5FD}"/>
              </a:ext>
            </a:extLst>
          </xdr:cNvPr>
          <xdr:cNvGrpSpPr/>
        </xdr:nvGrpSpPr>
        <xdr:grpSpPr>
          <a:xfrm>
            <a:off x="3151093" y="2967317"/>
            <a:ext cx="4459942" cy="4061012"/>
            <a:chOff x="5939117" y="3272116"/>
            <a:chExt cx="3823448" cy="3406589"/>
          </a:xfrm>
        </xdr:grpSpPr>
        <xdr:graphicFrame macro="">
          <xdr:nvGraphicFramePr>
            <xdr:cNvPr id="2" name="Диаграмма 1">
              <a:extLst>
                <a:ext uri="{FF2B5EF4-FFF2-40B4-BE49-F238E27FC236}">
                  <a16:creationId xmlns:a16="http://schemas.microsoft.com/office/drawing/2014/main" id="{01EE562F-4367-41C4-9367-A54680F74072}"/>
                </a:ext>
              </a:extLst>
            </xdr:cNvPr>
            <xdr:cNvGraphicFramePr/>
          </xdr:nvGraphicFramePr>
          <xdr:xfrm>
            <a:off x="5939117" y="3272116"/>
            <a:ext cx="3823448" cy="340658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2C3383C-AD24-487C-8CD3-72B45EA9B02B}"/>
                </a:ext>
              </a:extLst>
            </xdr:cNvPr>
            <xdr:cNvSpPr txBox="1"/>
          </xdr:nvSpPr>
          <xdr:spPr>
            <a:xfrm>
              <a:off x="5951887" y="3325907"/>
              <a:ext cx="365021" cy="35468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n-US" sz="1600" b="1" i="1">
                  <a:latin typeface="Cambria Math" panose="02040503050406030204" pitchFamily="18" charset="0"/>
                  <a:ea typeface="Cambria Math" panose="02040503050406030204" pitchFamily="18" charset="0"/>
                </a:rPr>
                <a:t>T, </a:t>
              </a:r>
              <a:r>
                <a:rPr lang="en-US" sz="1600" b="1" i="1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[C]</a:t>
              </a:r>
              <a:endParaRPr lang="ru-RU" sz="1600" b="1" i="1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161A9E8-7195-4AE7-BF75-BD9EA784A2C8}"/>
              </a:ext>
            </a:extLst>
          </xdr:cNvPr>
          <xdr:cNvSpPr txBox="1"/>
        </xdr:nvSpPr>
        <xdr:spPr>
          <a:xfrm>
            <a:off x="7010790" y="6675200"/>
            <a:ext cx="531486" cy="307528"/>
          </a:xfrm>
          <a:prstGeom prst="rect">
            <a:avLst/>
          </a:prstGeom>
          <a:solidFill>
            <a:sysClr val="window" lastClr="FFFFFF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t">
            <a:noAutofit/>
          </a:bodyPr>
          <a:lstStyle/>
          <a:p>
            <a:r>
              <a:rPr lang="en-US" sz="1600" b="1" i="1">
                <a:latin typeface="Cambria Math" panose="02040503050406030204" pitchFamily="18" charset="0"/>
                <a:ea typeface="Cambria Math" panose="02040503050406030204" pitchFamily="18" charset="0"/>
              </a:rPr>
              <a:t>L, </a:t>
            </a:r>
            <a:r>
              <a:rPr lang="en-US" sz="1600" b="1" i="1" baseline="0">
                <a:latin typeface="Cambria Math" panose="02040503050406030204" pitchFamily="18" charset="0"/>
                <a:ea typeface="Cambria Math" panose="02040503050406030204" pitchFamily="18" charset="0"/>
              </a:rPr>
              <a:t>[m]</a:t>
            </a:r>
            <a:endParaRPr lang="ru-RU" sz="1600" b="1" i="1">
              <a:latin typeface="Cambria Math" panose="02040503050406030204" pitchFamily="18" charset="0"/>
              <a:ea typeface="Cambria Math" panose="02040503050406030204" pitchFamily="18" charset="0"/>
            </a:endParaRP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2:AL17"/>
  <sheetViews>
    <sheetView tabSelected="1" zoomScaleNormal="100" workbookViewId="0">
      <selection activeCell="E18" sqref="E18"/>
    </sheetView>
  </sheetViews>
  <sheetFormatPr defaultRowHeight="14.4" x14ac:dyDescent="0.3"/>
  <cols>
    <col min="1" max="1" width="1" customWidth="1"/>
    <col min="2" max="2" width="10.5546875" customWidth="1"/>
    <col min="4" max="4" width="5.88671875" customWidth="1"/>
    <col min="5" max="5" width="5.6640625" customWidth="1"/>
    <col min="6" max="38" width="9" bestFit="1" customWidth="1"/>
  </cols>
  <sheetData>
    <row r="2" spans="1:38" ht="15" thickBot="1" x14ac:dyDescent="0.35"/>
    <row r="3" spans="1:38" ht="15.6" thickTop="1" thickBot="1" x14ac:dyDescent="0.35">
      <c r="B3" s="3" t="s">
        <v>0</v>
      </c>
      <c r="C3" s="3">
        <v>0.1</v>
      </c>
    </row>
    <row r="4" spans="1:38" ht="15.6" thickTop="1" thickBot="1" x14ac:dyDescent="0.35">
      <c r="B4" s="3" t="s">
        <v>1</v>
      </c>
      <c r="C4" s="4">
        <f>C3/30</f>
        <v>3.3333333333333335E-3</v>
      </c>
      <c r="M4" s="15"/>
    </row>
    <row r="5" spans="1:38" ht="15.6" thickTop="1" thickBot="1" x14ac:dyDescent="0.35">
      <c r="B5" s="3" t="s">
        <v>2</v>
      </c>
      <c r="C5" s="4">
        <f>(C8*C9*C4^2)/(2*C10)</f>
        <v>0.4333333333333334</v>
      </c>
    </row>
    <row r="6" spans="1:38" ht="15.6" thickTop="1" thickBot="1" x14ac:dyDescent="0.35">
      <c r="B6" s="3" t="s">
        <v>3</v>
      </c>
      <c r="C6" s="3">
        <v>1000</v>
      </c>
      <c r="D6">
        <v>1000.1333333333334</v>
      </c>
      <c r="F6" s="5"/>
    </row>
    <row r="7" spans="1:38" ht="15.6" thickTop="1" thickBot="1" x14ac:dyDescent="0.35">
      <c r="A7" s="5"/>
      <c r="B7" s="6"/>
      <c r="C7" s="6"/>
      <c r="D7" s="5"/>
    </row>
    <row r="8" spans="1:38" ht="15.6" thickTop="1" thickBot="1" x14ac:dyDescent="0.35">
      <c r="B8" s="3" t="s">
        <v>4</v>
      </c>
      <c r="C8" s="19">
        <v>460</v>
      </c>
    </row>
    <row r="9" spans="1:38" ht="15.6" thickTop="1" thickBot="1" x14ac:dyDescent="0.35">
      <c r="B9" s="3" t="s">
        <v>5</v>
      </c>
      <c r="C9" s="19">
        <v>7800</v>
      </c>
    </row>
    <row r="10" spans="1:38" ht="15.6" thickTop="1" thickBot="1" x14ac:dyDescent="0.35">
      <c r="B10" s="3" t="s">
        <v>6</v>
      </c>
      <c r="C10" s="19">
        <v>46</v>
      </c>
    </row>
    <row r="11" spans="1:38" ht="15.6" thickTop="1" thickBot="1" x14ac:dyDescent="0.35">
      <c r="A11" s="5"/>
      <c r="B11" s="6"/>
      <c r="C11" s="6"/>
      <c r="F11" s="1" t="s">
        <v>14</v>
      </c>
      <c r="G11" s="1">
        <f>1</f>
        <v>1</v>
      </c>
      <c r="H11" s="1">
        <f>G11+1</f>
        <v>2</v>
      </c>
      <c r="I11" s="1">
        <f t="shared" ref="I11" si="0">H11+1</f>
        <v>3</v>
      </c>
      <c r="J11" s="17">
        <f t="shared" ref="J11" si="1">I11+1</f>
        <v>4</v>
      </c>
      <c r="K11" s="17">
        <f t="shared" ref="K11" si="2">J11+1</f>
        <v>5</v>
      </c>
      <c r="L11" s="17">
        <f t="shared" ref="L11" si="3">K11+1</f>
        <v>6</v>
      </c>
      <c r="M11" s="17">
        <f t="shared" ref="M11" si="4">L11+1</f>
        <v>7</v>
      </c>
      <c r="N11" s="17">
        <f t="shared" ref="N11" si="5">M11+1</f>
        <v>8</v>
      </c>
      <c r="O11" s="17">
        <f t="shared" ref="O11" si="6">N11+1</f>
        <v>9</v>
      </c>
      <c r="P11" s="17">
        <f t="shared" ref="P11" si="7">O11+1</f>
        <v>10</v>
      </c>
      <c r="Q11" s="17">
        <f t="shared" ref="Q11" si="8">P11+1</f>
        <v>11</v>
      </c>
      <c r="R11" s="17">
        <f t="shared" ref="R11" si="9">Q11+1</f>
        <v>12</v>
      </c>
      <c r="S11" s="17">
        <f t="shared" ref="S11" si="10">R11+1</f>
        <v>13</v>
      </c>
      <c r="T11" s="17">
        <f t="shared" ref="T11" si="11">S11+1</f>
        <v>14</v>
      </c>
      <c r="U11" s="17">
        <f t="shared" ref="U11" si="12">T11+1</f>
        <v>15</v>
      </c>
      <c r="V11" s="17">
        <f t="shared" ref="V11" si="13">U11+1</f>
        <v>16</v>
      </c>
      <c r="W11" s="17">
        <f t="shared" ref="W11" si="14">V11+1</f>
        <v>17</v>
      </c>
      <c r="X11" s="17">
        <f t="shared" ref="X11" si="15">W11+1</f>
        <v>18</v>
      </c>
      <c r="Y11" s="17">
        <f t="shared" ref="Y11" si="16">X11+1</f>
        <v>19</v>
      </c>
      <c r="Z11" s="17">
        <f t="shared" ref="Z11" si="17">Y11+1</f>
        <v>20</v>
      </c>
      <c r="AA11" s="17">
        <f t="shared" ref="AA11" si="18">Z11+1</f>
        <v>21</v>
      </c>
      <c r="AB11" s="17">
        <f t="shared" ref="AB11" si="19">AA11+1</f>
        <v>22</v>
      </c>
      <c r="AC11" s="17">
        <f t="shared" ref="AC11" si="20">AB11+1</f>
        <v>23</v>
      </c>
      <c r="AD11" s="17">
        <f t="shared" ref="AD11" si="21">AC11+1</f>
        <v>24</v>
      </c>
      <c r="AE11" s="17">
        <f t="shared" ref="AE11" si="22">AD11+1</f>
        <v>25</v>
      </c>
      <c r="AF11" s="17">
        <f t="shared" ref="AF11" si="23">AE11+1</f>
        <v>26</v>
      </c>
      <c r="AG11" s="17">
        <f t="shared" ref="AG11" si="24">AF11+1</f>
        <v>27</v>
      </c>
      <c r="AH11" s="17">
        <f t="shared" ref="AH11" si="25">AG11+1</f>
        <v>28</v>
      </c>
      <c r="AI11" s="17">
        <f t="shared" ref="AI11" si="26">AH11+1</f>
        <v>29</v>
      </c>
      <c r="AJ11" s="17">
        <f t="shared" ref="AJ11:AK11" si="27">AI11+1</f>
        <v>30</v>
      </c>
      <c r="AK11" s="17">
        <f t="shared" si="27"/>
        <v>31</v>
      </c>
      <c r="AL11" s="1" t="s">
        <v>15</v>
      </c>
    </row>
    <row r="12" spans="1:38" ht="15.6" thickTop="1" thickBot="1" x14ac:dyDescent="0.35">
      <c r="B12" s="8" t="s">
        <v>13</v>
      </c>
      <c r="C12" s="8">
        <v>600</v>
      </c>
      <c r="E12" t="s">
        <v>0</v>
      </c>
      <c r="F12" s="2">
        <v>0</v>
      </c>
      <c r="G12" s="2">
        <f>0.025</f>
        <v>2.5000000000000001E-2</v>
      </c>
      <c r="H12" s="2">
        <f t="shared" ref="H12:I12" si="28">G12+$C$4</f>
        <v>2.8333333333333335E-2</v>
      </c>
      <c r="I12" s="2">
        <f t="shared" si="28"/>
        <v>3.1666666666666669E-2</v>
      </c>
      <c r="J12" s="18">
        <f t="shared" ref="J12" si="29">I12+$C$4</f>
        <v>3.5000000000000003E-2</v>
      </c>
      <c r="K12" s="18">
        <f t="shared" ref="K12" si="30">J12+$C$4</f>
        <v>3.8333333333333337E-2</v>
      </c>
      <c r="L12" s="18">
        <f t="shared" ref="L12" si="31">K12+$C$4</f>
        <v>4.1666666666666671E-2</v>
      </c>
      <c r="M12" s="18">
        <f t="shared" ref="M12" si="32">L12+$C$4</f>
        <v>4.5000000000000005E-2</v>
      </c>
      <c r="N12" s="18">
        <f t="shared" ref="N12" si="33">M12+$C$4</f>
        <v>4.8333333333333339E-2</v>
      </c>
      <c r="O12" s="18">
        <f t="shared" ref="O12" si="34">N12+$C$4</f>
        <v>5.1666666666666673E-2</v>
      </c>
      <c r="P12" s="18">
        <f t="shared" ref="P12" si="35">O12+$C$4</f>
        <v>5.5000000000000007E-2</v>
      </c>
      <c r="Q12" s="18">
        <f t="shared" ref="Q12" si="36">P12+$C$4</f>
        <v>5.8333333333333341E-2</v>
      </c>
      <c r="R12" s="18">
        <f t="shared" ref="R12" si="37">Q12+$C$4</f>
        <v>6.1666666666666675E-2</v>
      </c>
      <c r="S12" s="18">
        <f t="shared" ref="S12" si="38">R12+$C$4</f>
        <v>6.5000000000000002E-2</v>
      </c>
      <c r="T12" s="18">
        <f t="shared" ref="T12" si="39">S12+$C$4</f>
        <v>6.8333333333333329E-2</v>
      </c>
      <c r="U12" s="18">
        <f t="shared" ref="U12" si="40">T12+$C$4</f>
        <v>7.1666666666666656E-2</v>
      </c>
      <c r="V12" s="18">
        <f t="shared" ref="V12" si="41">U12+$C$4</f>
        <v>7.4999999999999983E-2</v>
      </c>
      <c r="W12" s="18">
        <f t="shared" ref="W12" si="42">V12+$C$4</f>
        <v>7.833333333333331E-2</v>
      </c>
      <c r="X12" s="18">
        <f t="shared" ref="X12" si="43">W12+$C$4</f>
        <v>8.1666666666666637E-2</v>
      </c>
      <c r="Y12" s="18">
        <f t="shared" ref="Y12" si="44">X12+$C$4</f>
        <v>8.4999999999999964E-2</v>
      </c>
      <c r="Z12" s="18">
        <f t="shared" ref="Z12" si="45">Y12+$C$4</f>
        <v>8.8333333333333292E-2</v>
      </c>
      <c r="AA12" s="18">
        <f t="shared" ref="AA12" si="46">Z12+$C$4</f>
        <v>9.1666666666666619E-2</v>
      </c>
      <c r="AB12" s="18">
        <f t="shared" ref="AB12" si="47">AA12+$C$4</f>
        <v>9.4999999999999946E-2</v>
      </c>
      <c r="AC12" s="18">
        <f t="shared" ref="AC12" si="48">AB12+$C$4</f>
        <v>9.8333333333333273E-2</v>
      </c>
      <c r="AD12" s="18">
        <f t="shared" ref="AD12" si="49">AC12+$C$4</f>
        <v>0.1016666666666666</v>
      </c>
      <c r="AE12" s="18">
        <f t="shared" ref="AE12" si="50">AD12+$C$4</f>
        <v>0.10499999999999993</v>
      </c>
      <c r="AF12" s="18">
        <f t="shared" ref="AF12" si="51">AE12+$C$4</f>
        <v>0.10833333333333325</v>
      </c>
      <c r="AG12" s="18">
        <f t="shared" ref="AG12" si="52">AF12+$C$4</f>
        <v>0.11166666666666658</v>
      </c>
      <c r="AH12" s="18">
        <f t="shared" ref="AH12" si="53">AG12+$C$4</f>
        <v>0.11499999999999991</v>
      </c>
      <c r="AI12" s="18">
        <f t="shared" ref="AI12" si="54">AH12+$C$4</f>
        <v>0.11833333333333323</v>
      </c>
      <c r="AJ12" s="18">
        <f t="shared" ref="AJ12:AK12" si="55">AI12+$C$4</f>
        <v>0.12166666666666656</v>
      </c>
      <c r="AK12" s="18">
        <f t="shared" si="55"/>
        <v>0.12499999999999989</v>
      </c>
      <c r="AL12" s="2">
        <f>AK12+0.025</f>
        <v>0.14999999999999988</v>
      </c>
    </row>
    <row r="13" spans="1:38" ht="15" thickBot="1" x14ac:dyDescent="0.35">
      <c r="B13" s="10" t="s">
        <v>10</v>
      </c>
      <c r="C13" s="10">
        <v>100000</v>
      </c>
      <c r="E13" t="s">
        <v>7</v>
      </c>
      <c r="F13" s="7">
        <f>$C$12</f>
        <v>600</v>
      </c>
      <c r="G13" s="7">
        <v>461.79293417601968</v>
      </c>
      <c r="H13" s="7">
        <v>458.4587650500373</v>
      </c>
      <c r="I13" s="7">
        <v>455.12885795898421</v>
      </c>
      <c r="J13" s="20">
        <v>451.80330471718122</v>
      </c>
      <c r="K13" s="20">
        <v>448.48219249378656</v>
      </c>
      <c r="L13" s="20">
        <v>445.1656039074129</v>
      </c>
      <c r="M13" s="20">
        <v>441.85361669388169</v>
      </c>
      <c r="N13" s="20">
        <v>438.54630392603372</v>
      </c>
      <c r="O13" s="20">
        <v>435.24373358150638</v>
      </c>
      <c r="P13" s="20">
        <v>431.94596887574539</v>
      </c>
      <c r="Q13" s="20">
        <v>428.65306774468002</v>
      </c>
      <c r="R13" s="20">
        <v>425.36508327468937</v>
      </c>
      <c r="S13" s="20">
        <v>422.08206311891502</v>
      </c>
      <c r="T13" s="20">
        <v>418.80405000435735</v>
      </c>
      <c r="U13" s="20">
        <v>415.53108110367333</v>
      </c>
      <c r="V13" s="20">
        <v>412.26318859681942</v>
      </c>
      <c r="W13" s="20">
        <v>409.00039902240451</v>
      </c>
      <c r="X13" s="20">
        <v>405.74273386946965</v>
      </c>
      <c r="Y13" s="20">
        <v>402.49020893371096</v>
      </c>
      <c r="Z13" s="20">
        <v>399.24283491416293</v>
      </c>
      <c r="AA13" s="20">
        <v>396.00061679981928</v>
      </c>
      <c r="AB13" s="20">
        <v>392.76355444620151</v>
      </c>
      <c r="AC13" s="20">
        <v>389.53164201707693</v>
      </c>
      <c r="AD13" s="20">
        <v>386.30486851713363</v>
      </c>
      <c r="AE13" s="20">
        <v>383.08321731165842</v>
      </c>
      <c r="AF13" s="20">
        <v>379.86666659375146</v>
      </c>
      <c r="AG13" s="20">
        <v>376.65518900205416</v>
      </c>
      <c r="AH13" s="20">
        <v>373.44875200403129</v>
      </c>
      <c r="AI13" s="20">
        <v>370.24731762824132</v>
      </c>
      <c r="AJ13" s="20">
        <v>367.05084274906073</v>
      </c>
      <c r="AK13" s="7">
        <v>363.85927894571341</v>
      </c>
      <c r="AL13" s="7">
        <f>$C$14</f>
        <v>100</v>
      </c>
    </row>
    <row r="14" spans="1:38" ht="15" thickBot="1" x14ac:dyDescent="0.35">
      <c r="B14" s="12" t="s">
        <v>12</v>
      </c>
      <c r="C14" s="11">
        <v>100</v>
      </c>
      <c r="H14" s="14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</row>
    <row r="15" spans="1:38" ht="15.6" thickTop="1" thickBot="1" x14ac:dyDescent="0.35">
      <c r="B15" s="10" t="s">
        <v>11</v>
      </c>
      <c r="C15" s="9">
        <v>50000</v>
      </c>
      <c r="E15" t="s">
        <v>8</v>
      </c>
      <c r="G15" s="13">
        <f>G13+(($C$10*$C$5)/($C$9*$C$8))*((H13-G13)/($C$4^2))+G16*$C$5/($C$9*$C$8)</f>
        <v>461.7950170746708</v>
      </c>
      <c r="H15" s="13">
        <f>H13+(($C$10*$C$5)/($C$9*$C$8))*((I13-2*H13+G13)/($C$4^2))</f>
        <v>458.46089606750195</v>
      </c>
      <c r="I15" s="13">
        <f t="shared" ref="I15:AJ15" si="56">I13+(($C$10*$C$5)/($C$9*$C$8))*((J13-2*I13+H13)/($C$4^2))</f>
        <v>455.13103488360923</v>
      </c>
      <c r="J15" s="13">
        <f t="shared" si="56"/>
        <v>451.80552522638538</v>
      </c>
      <c r="K15" s="13">
        <f t="shared" si="56"/>
        <v>448.48445431229709</v>
      </c>
      <c r="L15" s="13">
        <f t="shared" si="56"/>
        <v>445.16790459383412</v>
      </c>
      <c r="M15" s="13">
        <f t="shared" si="56"/>
        <v>441.85595391672331</v>
      </c>
      <c r="N15" s="13">
        <f t="shared" si="56"/>
        <v>438.54867513769403</v>
      </c>
      <c r="O15" s="13">
        <f t="shared" si="56"/>
        <v>435.24613640088955</v>
      </c>
      <c r="P15" s="13">
        <f t="shared" si="56"/>
        <v>431.9484006630932</v>
      </c>
      <c r="Q15" s="13">
        <f t="shared" si="56"/>
        <v>428.65552607521738</v>
      </c>
      <c r="R15" s="13">
        <f t="shared" si="56"/>
        <v>425.36756543179752</v>
      </c>
      <c r="S15" s="13">
        <f t="shared" si="56"/>
        <v>422.08456663952336</v>
      </c>
      <c r="T15" s="13">
        <f t="shared" si="56"/>
        <v>418.80657211129414</v>
      </c>
      <c r="U15" s="13">
        <f t="shared" si="56"/>
        <v>415.53361930058838</v>
      </c>
      <c r="V15" s="13">
        <f t="shared" si="56"/>
        <v>412.26574006303895</v>
      </c>
      <c r="W15" s="13">
        <f t="shared" si="56"/>
        <v>409.00296123314456</v>
      </c>
      <c r="X15" s="13">
        <f t="shared" si="56"/>
        <v>405.74530397805773</v>
      </c>
      <c r="Y15" s="13">
        <f t="shared" si="56"/>
        <v>402.49278439181626</v>
      </c>
      <c r="Z15" s="13">
        <f t="shared" si="56"/>
        <v>399.24541286676515</v>
      </c>
      <c r="AA15" s="13">
        <f t="shared" si="56"/>
        <v>396.00319468018222</v>
      </c>
      <c r="AB15" s="13">
        <f t="shared" si="56"/>
        <v>392.76612940844814</v>
      </c>
      <c r="AC15" s="13">
        <f t="shared" si="56"/>
        <v>389.53421148166757</v>
      </c>
      <c r="AD15" s="13">
        <f t="shared" si="56"/>
        <v>386.30742966436765</v>
      </c>
      <c r="AE15" s="13">
        <f t="shared" si="56"/>
        <v>383.08576755544254</v>
      </c>
      <c r="AF15" s="13">
        <f t="shared" si="56"/>
        <v>379.86920315685632</v>
      </c>
      <c r="AG15" s="13">
        <f t="shared" si="56"/>
        <v>376.6577092988914</v>
      </c>
      <c r="AH15" s="13">
        <f t="shared" si="56"/>
        <v>373.45125331514771</v>
      </c>
      <c r="AI15" s="13">
        <f t="shared" si="56"/>
        <v>370.24979737654598</v>
      </c>
      <c r="AJ15" s="13">
        <f t="shared" si="56"/>
        <v>367.05329828697734</v>
      </c>
      <c r="AK15" s="13">
        <f>AK13+(($C$10*$C$5)/($C$9*$C$8))*((-AK13+AJ13)/($C$4^2))-AL16*$C$5/($C$9*$C$8)</f>
        <v>363.86170771365693</v>
      </c>
    </row>
    <row r="16" spans="1:38" x14ac:dyDescent="0.3">
      <c r="E16" t="s">
        <v>9</v>
      </c>
      <c r="F16" s="22">
        <f>G16</f>
        <v>13820706.582398031</v>
      </c>
      <c r="G16" s="22">
        <f>-$C$13*(G13-F13)</f>
        <v>13820706.582398031</v>
      </c>
      <c r="H16" s="22">
        <f>-$C$10*((H13-G13)/$C$4^2)</f>
        <v>13803460.181567071</v>
      </c>
      <c r="I16" s="22">
        <f t="shared" ref="I16:AK16" si="57">-$C$10*((I13-H13)/$C$4^2)</f>
        <v>13785815.356959777</v>
      </c>
      <c r="J16" s="22">
        <f t="shared" si="57"/>
        <v>13767790.421064386</v>
      </c>
      <c r="K16" s="22">
        <f t="shared" si="57"/>
        <v>13749404.604853906</v>
      </c>
      <c r="L16" s="22">
        <f t="shared" si="57"/>
        <v>13730676.747586928</v>
      </c>
      <c r="M16" s="22">
        <f t="shared" si="57"/>
        <v>13711627.064019211</v>
      </c>
      <c r="N16" s="22">
        <f t="shared" si="57"/>
        <v>13692274.858890612</v>
      </c>
      <c r="O16" s="22">
        <f t="shared" si="57"/>
        <v>13672641.226343183</v>
      </c>
      <c r="P16" s="22">
        <f t="shared" si="57"/>
        <v>13652745.881850466</v>
      </c>
      <c r="Q16" s="22">
        <f t="shared" si="57"/>
        <v>13632610.682610663</v>
      </c>
      <c r="R16" s="22">
        <f t="shared" si="57"/>
        <v>13612255.705761276</v>
      </c>
      <c r="S16" s="22">
        <f t="shared" si="57"/>
        <v>13591703.444905814</v>
      </c>
      <c r="T16" s="22">
        <f t="shared" si="57"/>
        <v>13570974.294268735</v>
      </c>
      <c r="U16" s="22">
        <f t="shared" si="57"/>
        <v>13550091.24883184</v>
      </c>
      <c r="V16" s="22">
        <f t="shared" si="57"/>
        <v>13529074.978375191</v>
      </c>
      <c r="W16" s="22">
        <f t="shared" si="57"/>
        <v>13507948.838077726</v>
      </c>
      <c r="X16" s="22">
        <f t="shared" si="57"/>
        <v>13486733.733150328</v>
      </c>
      <c r="Y16" s="22">
        <f t="shared" si="57"/>
        <v>13465453.234040955</v>
      </c>
      <c r="Z16" s="22">
        <f t="shared" si="57"/>
        <v>13444128.440928854</v>
      </c>
      <c r="AA16" s="22">
        <f t="shared" si="57"/>
        <v>13422782.993382681</v>
      </c>
      <c r="AB16" s="22">
        <f t="shared" si="57"/>
        <v>13401438.143977577</v>
      </c>
      <c r="AC16" s="22">
        <f t="shared" si="57"/>
        <v>13380117.456575748</v>
      </c>
      <c r="AD16" s="22">
        <f t="shared" si="57"/>
        <v>13358842.289765285</v>
      </c>
      <c r="AE16" s="22">
        <f t="shared" si="57"/>
        <v>13337635.990667375</v>
      </c>
      <c r="AF16" s="22">
        <f t="shared" si="57"/>
        <v>13316519.972134791</v>
      </c>
      <c r="AG16" s="22">
        <f t="shared" si="57"/>
        <v>13295517.229626833</v>
      </c>
      <c r="AH16" s="22">
        <f t="shared" si="57"/>
        <v>13274649.171814663</v>
      </c>
      <c r="AI16" s="22">
        <f t="shared" si="57"/>
        <v>13253938.315770483</v>
      </c>
      <c r="AJ16" s="22">
        <f t="shared" si="57"/>
        <v>13233405.999807617</v>
      </c>
      <c r="AK16" s="22">
        <f t="shared" si="57"/>
        <v>13213074.14585791</v>
      </c>
      <c r="AL16" s="22">
        <f>$C$15*(AK13-AL13)</f>
        <v>13192963.947285671</v>
      </c>
    </row>
    <row r="17" spans="5:7" x14ac:dyDescent="0.3">
      <c r="E17" s="16" t="s">
        <v>16</v>
      </c>
      <c r="G17" s="21"/>
    </row>
  </sheetData>
  <conditionalFormatting sqref="AK13:AL13">
    <cfRule type="colorScale" priority="10">
      <colorScale>
        <cfvo type="min"/>
        <cfvo type="percentile" val="50"/>
        <cfvo type="max"/>
        <color theme="4" tint="-0.249977111117893"/>
        <color rgb="FFFFFF00"/>
        <color rgb="FFFF0000"/>
      </colorScale>
    </cfRule>
    <cfRule type="colorScale" priority="15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3">
    <cfRule type="colorScale" priority="13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13:AL13">
    <cfRule type="colorScale" priority="11">
      <colorScale>
        <cfvo type="min"/>
        <cfvo type="percentile" val="50"/>
        <cfvo type="max"/>
        <color theme="4" tint="-0.249977111117893"/>
        <color rgb="FFFFFF00"/>
        <color rgb="FFFF000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I13 AK13:AL13">
    <cfRule type="colorScale" priority="36">
      <colorScale>
        <cfvo type="min"/>
        <cfvo type="percentile" val="50"/>
        <cfvo type="max"/>
        <color theme="4" tint="-0.249977111117893"/>
        <color rgb="FFFFFF00"/>
        <color rgb="FFFF0000"/>
      </colorScale>
    </cfRule>
  </conditionalFormatting>
  <conditionalFormatting sqref="J13:AJ13">
    <cfRule type="colorScale" priority="3">
      <colorScale>
        <cfvo type="min"/>
        <cfvo type="percentile" val="50"/>
        <cfvo type="max"/>
        <color theme="4" tint="-0.249977111117893"/>
        <color rgb="FFFFFF00"/>
        <color rgb="FFFF0000"/>
      </colorScale>
    </cfRule>
    <cfRule type="colorScale" priority="6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:AJ13">
    <cfRule type="colorScale" priority="4">
      <colorScale>
        <cfvo type="min"/>
        <cfvo type="percentile" val="50"/>
        <cfvo type="max"/>
        <color theme="4" tint="-0.249977111117893"/>
        <color rgb="FFFFFF00"/>
        <color rgb="FFFF0000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3:AJ13">
    <cfRule type="colorScale" priority="8">
      <colorScale>
        <cfvo type="min"/>
        <cfvo type="percentile" val="50"/>
        <cfvo type="max"/>
        <color theme="4" tint="-0.249977111117893"/>
        <color rgb="FFFFFF00"/>
        <color rgb="FFFF0000"/>
      </colorScale>
    </cfRule>
  </conditionalFormatting>
  <conditionalFormatting sqref="F13:I13">
    <cfRule type="colorScale" priority="37">
      <colorScale>
        <cfvo type="min"/>
        <cfvo type="percentile" val="50"/>
        <cfvo type="max"/>
        <color theme="4" tint="-0.249977111117893"/>
        <color rgb="FFFFFF00"/>
        <color rgb="FFFF0000"/>
      </colorScale>
    </cfRule>
    <cfRule type="colorScale" priority="38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I13">
    <cfRule type="colorScale" priority="40">
      <colorScale>
        <cfvo type="min"/>
        <cfvo type="percentile" val="50"/>
        <cfvo type="max"/>
        <color theme="4" tint="-0.249977111117893"/>
        <color rgb="FFFFFF00"/>
        <color rgb="FFFF0000"/>
      </colorScale>
    </cfRule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3:AL13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" val="50"/>
        <cfvo type="max"/>
        <color theme="4" tint="-0.249977111117893"/>
        <color rgb="FFFFFF00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DCF45-6AEE-4667-8390-6FD68BDFFD6C}">
  <sheetPr codeName="Лист2"/>
  <dimension ref="B2:AF4"/>
  <sheetViews>
    <sheetView zoomScale="55" zoomScaleNormal="55" workbookViewId="0">
      <selection activeCell="B2" sqref="B2:AF2"/>
    </sheetView>
  </sheetViews>
  <sheetFormatPr defaultRowHeight="14.4" x14ac:dyDescent="0.3"/>
  <sheetData>
    <row r="2" spans="2:32" x14ac:dyDescent="0.3">
      <c r="B2">
        <v>200</v>
      </c>
      <c r="C2">
        <f>B2-1</f>
        <v>199</v>
      </c>
      <c r="D2">
        <f t="shared" ref="D2:AF2" si="0">C2-1</f>
        <v>198</v>
      </c>
      <c r="E2">
        <f t="shared" si="0"/>
        <v>197</v>
      </c>
      <c r="F2">
        <f t="shared" si="0"/>
        <v>196</v>
      </c>
      <c r="G2">
        <f t="shared" si="0"/>
        <v>195</v>
      </c>
      <c r="H2">
        <f t="shared" si="0"/>
        <v>194</v>
      </c>
      <c r="I2">
        <f t="shared" si="0"/>
        <v>193</v>
      </c>
      <c r="J2">
        <f t="shared" si="0"/>
        <v>192</v>
      </c>
      <c r="K2">
        <f t="shared" si="0"/>
        <v>191</v>
      </c>
      <c r="L2">
        <f t="shared" si="0"/>
        <v>190</v>
      </c>
      <c r="M2">
        <f t="shared" si="0"/>
        <v>189</v>
      </c>
      <c r="N2">
        <f t="shared" si="0"/>
        <v>188</v>
      </c>
      <c r="O2">
        <f t="shared" si="0"/>
        <v>187</v>
      </c>
      <c r="P2">
        <f t="shared" si="0"/>
        <v>186</v>
      </c>
      <c r="Q2">
        <f t="shared" si="0"/>
        <v>185</v>
      </c>
      <c r="R2">
        <f t="shared" si="0"/>
        <v>184</v>
      </c>
      <c r="S2">
        <f t="shared" si="0"/>
        <v>183</v>
      </c>
      <c r="T2">
        <f t="shared" si="0"/>
        <v>182</v>
      </c>
      <c r="U2">
        <f t="shared" si="0"/>
        <v>181</v>
      </c>
      <c r="V2">
        <f t="shared" si="0"/>
        <v>180</v>
      </c>
      <c r="W2">
        <f t="shared" si="0"/>
        <v>179</v>
      </c>
      <c r="X2">
        <f t="shared" si="0"/>
        <v>178</v>
      </c>
      <c r="Y2">
        <f t="shared" si="0"/>
        <v>177</v>
      </c>
      <c r="Z2">
        <f t="shared" si="0"/>
        <v>176</v>
      </c>
      <c r="AA2">
        <f t="shared" si="0"/>
        <v>175</v>
      </c>
      <c r="AB2">
        <f t="shared" si="0"/>
        <v>174</v>
      </c>
      <c r="AC2">
        <f t="shared" si="0"/>
        <v>173</v>
      </c>
      <c r="AD2">
        <f t="shared" si="0"/>
        <v>172</v>
      </c>
      <c r="AE2">
        <f t="shared" si="0"/>
        <v>171</v>
      </c>
      <c r="AF2">
        <f t="shared" si="0"/>
        <v>170</v>
      </c>
    </row>
    <row r="4" spans="2:32" x14ac:dyDescent="0.3"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</row>
  </sheetData>
  <conditionalFormatting sqref="B4:AF4">
    <cfRule type="colorScale" priority="5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:AF4">
    <cfRule type="colorScale" priority="3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4:AF4">
    <cfRule type="colorScale" priority="1">
      <colorScale>
        <cfvo type="min"/>
        <cfvo type="percentile" val="50"/>
        <cfvo type="max"/>
        <color theme="4" tint="-0.249977111117893"/>
        <color rgb="FFFFFF00"/>
        <color rgb="FFFF0000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Николай</dc:creator>
  <cp:lastModifiedBy>Николай</cp:lastModifiedBy>
  <dcterms:created xsi:type="dcterms:W3CDTF">2015-06-05T18:19:34Z</dcterms:created>
  <dcterms:modified xsi:type="dcterms:W3CDTF">2021-10-11T19:26:31Z</dcterms:modified>
</cp:coreProperties>
</file>