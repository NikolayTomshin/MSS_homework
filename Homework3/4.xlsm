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иблиотека\МСС\"/>
    </mc:Choice>
  </mc:AlternateContent>
  <xr:revisionPtr revIDLastSave="0" documentId="13_ncr:1_{0DA1BF33-A3F4-4712-8380-FCF2BF4CFC0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Явная" sheetId="4" r:id="rId1"/>
    <sheet name="Неявная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20" i="1" l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AH16" i="4" l="1"/>
  <c r="AG16" i="4"/>
  <c r="AD16" i="4"/>
  <c r="AC16" i="4"/>
  <c r="Z16" i="4"/>
  <c r="Y16" i="4"/>
  <c r="V16" i="4"/>
  <c r="U16" i="4"/>
  <c r="R16" i="4"/>
  <c r="Q16" i="4"/>
  <c r="N16" i="4"/>
  <c r="M16" i="4"/>
  <c r="J16" i="4"/>
  <c r="I16" i="4"/>
  <c r="F12" i="4"/>
  <c r="G10" i="4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C2" i="4"/>
  <c r="AJ16" i="4" s="1"/>
  <c r="G16" i="4" l="1"/>
  <c r="F16" i="4" s="1"/>
  <c r="O16" i="4"/>
  <c r="W16" i="4"/>
  <c r="AE16" i="4"/>
  <c r="C4" i="4"/>
  <c r="G11" i="4"/>
  <c r="H11" i="4" s="1"/>
  <c r="I11" i="4" s="1"/>
  <c r="J11" i="4" s="1"/>
  <c r="K11" i="4" s="1"/>
  <c r="L11" i="4" s="1"/>
  <c r="M11" i="4" s="1"/>
  <c r="N11" i="4" s="1"/>
  <c r="O11" i="4" s="1"/>
  <c r="P11" i="4" s="1"/>
  <c r="Q11" i="4" s="1"/>
  <c r="R11" i="4" s="1"/>
  <c r="S11" i="4" s="1"/>
  <c r="T11" i="4" s="1"/>
  <c r="U11" i="4" s="1"/>
  <c r="V11" i="4" s="1"/>
  <c r="W11" i="4" s="1"/>
  <c r="X11" i="4" s="1"/>
  <c r="Y11" i="4" s="1"/>
  <c r="Z11" i="4" s="1"/>
  <c r="AA11" i="4" s="1"/>
  <c r="AB11" i="4" s="1"/>
  <c r="AC11" i="4" s="1"/>
  <c r="AD11" i="4" s="1"/>
  <c r="AE11" i="4" s="1"/>
  <c r="AF11" i="4" s="1"/>
  <c r="AG11" i="4" s="1"/>
  <c r="AH11" i="4" s="1"/>
  <c r="AI11" i="4" s="1"/>
  <c r="AJ11" i="4" s="1"/>
  <c r="H16" i="4"/>
  <c r="P16" i="4"/>
  <c r="X16" i="4"/>
  <c r="AF16" i="4"/>
  <c r="K16" i="4"/>
  <c r="S16" i="4"/>
  <c r="AA16" i="4"/>
  <c r="AI16" i="4"/>
  <c r="L16" i="4"/>
  <c r="T16" i="4"/>
  <c r="AB16" i="4"/>
  <c r="G4" i="1"/>
  <c r="F12" i="1"/>
  <c r="F19" i="1" s="1"/>
  <c r="C2" i="1"/>
  <c r="G10" i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AJ10" i="1" s="1"/>
  <c r="G4" i="4" l="1"/>
  <c r="C16" i="1"/>
  <c r="C17" i="1"/>
  <c r="C15" i="1"/>
  <c r="AH16" i="1"/>
  <c r="AI16" i="1"/>
  <c r="AG16" i="1"/>
  <c r="N16" i="1"/>
  <c r="V16" i="1"/>
  <c r="AD16" i="1"/>
  <c r="O16" i="1"/>
  <c r="W16" i="1"/>
  <c r="AE16" i="1"/>
  <c r="I16" i="1"/>
  <c r="Y16" i="1"/>
  <c r="Z16" i="1"/>
  <c r="S16" i="1"/>
  <c r="H16" i="1"/>
  <c r="P16" i="1"/>
  <c r="X16" i="1"/>
  <c r="AF16" i="1"/>
  <c r="Q16" i="1"/>
  <c r="J16" i="1"/>
  <c r="R16" i="1"/>
  <c r="K16" i="1"/>
  <c r="AA16" i="1"/>
  <c r="L16" i="1"/>
  <c r="T16" i="1"/>
  <c r="AB16" i="1"/>
  <c r="AJ16" i="1"/>
  <c r="M16" i="1"/>
  <c r="U16" i="1"/>
  <c r="AC16" i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G18" i="1" l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G19" i="1"/>
  <c r="G16" i="1"/>
  <c r="F16" i="1" s="1"/>
  <c r="H19" i="1" l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<sst xmlns="http://schemas.openxmlformats.org/spreadsheetml/2006/main" count="32" uniqueCount="19">
  <si>
    <t>L</t>
  </si>
  <si>
    <t>dx</t>
  </si>
  <si>
    <t>dt</t>
  </si>
  <si>
    <t>t</t>
  </si>
  <si>
    <t>Cp</t>
  </si>
  <si>
    <t>ro</t>
  </si>
  <si>
    <t>lambda</t>
  </si>
  <si>
    <t>T</t>
  </si>
  <si>
    <t>T_end</t>
  </si>
  <si>
    <t>T_iter</t>
  </si>
  <si>
    <t>q</t>
  </si>
  <si>
    <t>X</t>
  </si>
  <si>
    <t>alf</t>
  </si>
  <si>
    <t>bet</t>
  </si>
  <si>
    <t>F</t>
  </si>
  <si>
    <t>A</t>
  </si>
  <si>
    <t>B</t>
  </si>
  <si>
    <t>C</t>
  </si>
  <si>
    <t>T_start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</si>
</sst>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000"/>
    <numFmt numFmtId="165" formatCode="0.000"/>
    <numFmt numFmtId="166" formatCode="_-* #,##0.0\ _₽_-;\-* #,##0.0\ _₽_-;_-* &quot;-&quot;???\ _₽_-;_-@_-"/>
    <numFmt numFmtId="167" formatCode="0.0E+00"/>
    <numFmt numFmtId="168" formatCode="0E+00"/>
    <numFmt numFmtId="169" formatCode="0.0"/>
    <numFmt numFmtId="170" formatCode="_-* #,##0.0\ _₽_-;\-* #,##0.0\ _₽_-;_-* &quot;-&quot;?\ _₽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center" vertical="center"/>
    </xf>
    <xf numFmtId="0" fontId="0" fillId="0" borderId="0" xfId="0" applyBorder="1"/>
    <xf numFmtId="166" fontId="0" fillId="0" borderId="0" xfId="0" applyNumberFormat="1"/>
    <xf numFmtId="0" fontId="0" fillId="0" borderId="0" xfId="0" applyFill="1" applyBorder="1" applyAlignment="1">
      <alignment horizontal="center" vertical="center"/>
    </xf>
    <xf numFmtId="165" fontId="0" fillId="0" borderId="1" xfId="0" applyNumberFormat="1" applyBorder="1"/>
    <xf numFmtId="11" fontId="2" fillId="0" borderId="0" xfId="1" applyNumberFormat="1" applyFont="1"/>
    <xf numFmtId="167" fontId="0" fillId="0" borderId="0" xfId="0" applyNumberFormat="1"/>
    <xf numFmtId="168" fontId="0" fillId="0" borderId="0" xfId="0" applyNumberFormat="1"/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9" fontId="0" fillId="0" borderId="1" xfId="0" applyNumberFormat="1" applyBorder="1"/>
    <xf numFmtId="170" fontId="0" fillId="0" borderId="0" xfId="0" applyNumberFormat="1"/>
    <xf numFmtId="165" fontId="0" fillId="0" borderId="0" xfId="0" applyNumberFormat="1"/>
    <xf numFmtId="1" fontId="0" fillId="0" borderId="0" xfId="0" applyNumberFormat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Явная!$F$11:$AJ$11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Явная!$F$12:$AJ$12</c:f>
              <c:numCache>
                <c:formatCode>0.0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141.55671337374596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72.26118711460424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94.888886025938561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67-4F09-AF31-62C538F88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83168"/>
        <c:axId val="251782336"/>
      </c:scatterChart>
      <c:valAx>
        <c:axId val="251783168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2336"/>
        <c:crosses val="autoZero"/>
        <c:crossBetween val="midCat"/>
      </c:valAx>
      <c:valAx>
        <c:axId val="25178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Неявная!$F$11:$AJ$11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Неявная!$F$12:$AJ$12</c:f>
              <c:numCache>
                <c:formatCode>0.0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B-4090-B084-6431B7EC1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83168"/>
        <c:axId val="251782336"/>
      </c:scatterChart>
      <c:valAx>
        <c:axId val="251783168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2336"/>
        <c:crosses val="autoZero"/>
        <c:crossBetween val="midCat"/>
      </c:valAx>
      <c:valAx>
        <c:axId val="25178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Неявная</c:v>
          </c:tx>
          <c:spPr>
            <a:ln w="3810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Неявная!$F$11:$AJ$11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Неявная!$F$12:$AJ$12</c:f>
              <c:numCache>
                <c:formatCode>0.0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72-42DD-B9F9-CFFB09556E57}"/>
            </c:ext>
          </c:extLst>
        </c:ser>
        <c:ser>
          <c:idx val="1"/>
          <c:order val="1"/>
          <c:tx>
            <c:v>Явная</c:v>
          </c:tx>
          <c:spPr>
            <a:ln w="38100" cap="rnd" cmpd="sng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Явная!$F$11:$AJ$11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Явная!$F$12:$AJ$12</c:f>
              <c:numCache>
                <c:formatCode>0.0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141.55671337374596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72.26118711460424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94.888886025938561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72-42DD-B9F9-CFFB0955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83168"/>
        <c:axId val="251782336"/>
      </c:scatterChart>
      <c:valAx>
        <c:axId val="251783168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2336"/>
        <c:crosses val="autoZero"/>
        <c:crossBetween val="midCat"/>
      </c:valAx>
      <c:valAx>
        <c:axId val="25178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85162</xdr:colOff>
      <xdr:row>17</xdr:row>
      <xdr:rowOff>98611</xdr:rowOff>
    </xdr:from>
    <xdr:to>
      <xdr:col>14</xdr:col>
      <xdr:colOff>44822</xdr:colOff>
      <xdr:row>40</xdr:row>
      <xdr:rowOff>35858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5AC4A49D-5610-45AD-ADB6-12185970BEA6}"/>
            </a:ext>
          </a:extLst>
        </xdr:cNvPr>
        <xdr:cNvGrpSpPr/>
      </xdr:nvGrpSpPr>
      <xdr:grpSpPr>
        <a:xfrm>
          <a:off x="2317374" y="3361764"/>
          <a:ext cx="5589495" cy="4061012"/>
          <a:chOff x="3151093" y="2967317"/>
          <a:chExt cx="4459942" cy="4061012"/>
        </a:xfrm>
      </xdr:grpSpPr>
      <xdr:grpSp>
        <xdr:nvGrpSpPr>
          <xdr:cNvPr id="3" name="Группа 2">
            <a:extLst>
              <a:ext uri="{FF2B5EF4-FFF2-40B4-BE49-F238E27FC236}">
                <a16:creationId xmlns:a16="http://schemas.microsoft.com/office/drawing/2014/main" id="{CB52BFB5-29F2-4BC1-A368-14415F6902FB}"/>
              </a:ext>
            </a:extLst>
          </xdr:cNvPr>
          <xdr:cNvGrpSpPr/>
        </xdr:nvGrpSpPr>
        <xdr:grpSpPr>
          <a:xfrm>
            <a:off x="3151093" y="2967317"/>
            <a:ext cx="4459942" cy="4061012"/>
            <a:chOff x="5939117" y="3272116"/>
            <a:chExt cx="3823448" cy="3406589"/>
          </a:xfrm>
        </xdr:grpSpPr>
        <xdr:graphicFrame macro="">
          <xdr:nvGraphicFramePr>
            <xdr:cNvPr id="5" name="Диаграмма 4">
              <a:extLst>
                <a:ext uri="{FF2B5EF4-FFF2-40B4-BE49-F238E27FC236}">
                  <a16:creationId xmlns:a16="http://schemas.microsoft.com/office/drawing/2014/main" id="{833A46A1-F630-4015-98C8-FED7B1F01B24}"/>
                </a:ext>
              </a:extLst>
            </xdr:cNvPr>
            <xdr:cNvGraphicFramePr/>
          </xdr:nvGraphicFramePr>
          <xdr:xfrm>
            <a:off x="5939117" y="3272116"/>
            <a:ext cx="3823448" cy="34065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79D0AF1-9F46-4B43-B4D3-94437B7A1545}"/>
                </a:ext>
              </a:extLst>
            </xdr:cNvPr>
            <xdr:cNvSpPr txBox="1"/>
          </xdr:nvSpPr>
          <xdr:spPr>
            <a:xfrm>
              <a:off x="5951887" y="3325907"/>
              <a:ext cx="365021" cy="35468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1">
                  <a:latin typeface="Cambria Math" panose="02040503050406030204" pitchFamily="18" charset="0"/>
                  <a:ea typeface="Cambria Math" panose="02040503050406030204" pitchFamily="18" charset="0"/>
                </a:rPr>
                <a:t>T, </a:t>
              </a:r>
              <a:r>
                <a:rPr lang="en-US" sz="1600" b="1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[C]</a:t>
              </a:r>
              <a:endParaRPr lang="ru-RU" sz="1600" b="1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B4922E76-2425-4B53-A98F-97844B285A18}"/>
              </a:ext>
            </a:extLst>
          </xdr:cNvPr>
          <xdr:cNvSpPr txBox="1"/>
        </xdr:nvSpPr>
        <xdr:spPr>
          <a:xfrm>
            <a:off x="7010790" y="6675200"/>
            <a:ext cx="531486" cy="307528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t">
            <a:noAutofit/>
          </a:bodyPr>
          <a:lstStyle/>
          <a:p>
            <a:r>
              <a:rPr lang="en-US" sz="1600" b="1" i="1">
                <a:latin typeface="Cambria Math" panose="02040503050406030204" pitchFamily="18" charset="0"/>
                <a:ea typeface="Cambria Math" panose="02040503050406030204" pitchFamily="18" charset="0"/>
              </a:rPr>
              <a:t>L, </a:t>
            </a:r>
            <a:r>
              <a:rPr lang="en-US" sz="1600" b="1" i="1" baseline="0">
                <a:latin typeface="Cambria Math" panose="02040503050406030204" pitchFamily="18" charset="0"/>
                <a:ea typeface="Cambria Math" panose="02040503050406030204" pitchFamily="18" charset="0"/>
              </a:rPr>
              <a:t>[m]</a:t>
            </a:r>
            <a:endParaRPr lang="ru-RU" sz="1600" b="1" i="1">
              <a:latin typeface="Cambria Math" panose="02040503050406030204" pitchFamily="18" charset="0"/>
              <a:ea typeface="Cambria Math" panose="02040503050406030204" pitchFamily="18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13445</xdr:colOff>
      <xdr:row>20</xdr:row>
      <xdr:rowOff>152399</xdr:rowOff>
    </xdr:from>
    <xdr:to>
      <xdr:col>13</xdr:col>
      <xdr:colOff>555811</xdr:colOff>
      <xdr:row>43</xdr:row>
      <xdr:rowOff>89646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21AEB90-7D7E-4634-A1E8-59849D075C43}"/>
            </a:ext>
          </a:extLst>
        </xdr:cNvPr>
        <xdr:cNvGrpSpPr/>
      </xdr:nvGrpSpPr>
      <xdr:grpSpPr>
        <a:xfrm>
          <a:off x="2245016" y="4005942"/>
          <a:ext cx="5549795" cy="4193561"/>
          <a:chOff x="3151093" y="2967317"/>
          <a:chExt cx="4459942" cy="4061012"/>
        </a:xfrm>
      </xdr:grpSpPr>
      <xdr:grpSp>
        <xdr:nvGrpSpPr>
          <xdr:cNvPr id="5" name="Группа 4">
            <a:extLst>
              <a:ext uri="{FF2B5EF4-FFF2-40B4-BE49-F238E27FC236}">
                <a16:creationId xmlns:a16="http://schemas.microsoft.com/office/drawing/2014/main" id="{02333DC3-F282-4FA4-9E5E-E159EF77C5FD}"/>
              </a:ext>
            </a:extLst>
          </xdr:cNvPr>
          <xdr:cNvGrpSpPr/>
        </xdr:nvGrpSpPr>
        <xdr:grpSpPr>
          <a:xfrm>
            <a:off x="3151093" y="2967317"/>
            <a:ext cx="4459942" cy="4061012"/>
            <a:chOff x="5939117" y="3272116"/>
            <a:chExt cx="3823448" cy="3406589"/>
          </a:xfrm>
        </xdr:grpSpPr>
        <xdr:graphicFrame macro="">
          <xdr:nvGraphicFramePr>
            <xdr:cNvPr id="2" name="Диаграмма 1">
              <a:extLst>
                <a:ext uri="{FF2B5EF4-FFF2-40B4-BE49-F238E27FC236}">
                  <a16:creationId xmlns:a16="http://schemas.microsoft.com/office/drawing/2014/main" id="{01EE562F-4367-41C4-9367-A54680F74072}"/>
                </a:ext>
              </a:extLst>
            </xdr:cNvPr>
            <xdr:cNvGraphicFramePr/>
          </xdr:nvGraphicFramePr>
          <xdr:xfrm>
            <a:off x="5939117" y="3272116"/>
            <a:ext cx="3823448" cy="34065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2C3383C-AD24-487C-8CD3-72B45EA9B02B}"/>
                </a:ext>
              </a:extLst>
            </xdr:cNvPr>
            <xdr:cNvSpPr txBox="1"/>
          </xdr:nvSpPr>
          <xdr:spPr>
            <a:xfrm>
              <a:off x="5951887" y="3325907"/>
              <a:ext cx="365021" cy="35468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1">
                  <a:latin typeface="Cambria Math" panose="02040503050406030204" pitchFamily="18" charset="0"/>
                  <a:ea typeface="Cambria Math" panose="02040503050406030204" pitchFamily="18" charset="0"/>
                </a:rPr>
                <a:t>T, </a:t>
              </a:r>
              <a:r>
                <a:rPr lang="en-US" sz="1600" b="1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[C]</a:t>
              </a:r>
              <a:endParaRPr lang="ru-RU" sz="1600" b="1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161A9E8-7195-4AE7-BF75-BD9EA784A2C8}"/>
              </a:ext>
            </a:extLst>
          </xdr:cNvPr>
          <xdr:cNvSpPr txBox="1"/>
        </xdr:nvSpPr>
        <xdr:spPr>
          <a:xfrm>
            <a:off x="7010790" y="6675200"/>
            <a:ext cx="531486" cy="307528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t">
            <a:noAutofit/>
          </a:bodyPr>
          <a:lstStyle/>
          <a:p>
            <a:r>
              <a:rPr lang="en-US" sz="1600" b="1" i="1">
                <a:latin typeface="Cambria Math" panose="02040503050406030204" pitchFamily="18" charset="0"/>
                <a:ea typeface="Cambria Math" panose="02040503050406030204" pitchFamily="18" charset="0"/>
              </a:rPr>
              <a:t>L, </a:t>
            </a:r>
            <a:r>
              <a:rPr lang="en-US" sz="1600" b="1" i="1" baseline="0">
                <a:latin typeface="Cambria Math" panose="02040503050406030204" pitchFamily="18" charset="0"/>
                <a:ea typeface="Cambria Math" panose="02040503050406030204" pitchFamily="18" charset="0"/>
              </a:rPr>
              <a:t>[m]</a:t>
            </a:r>
            <a:endParaRPr lang="ru-RU" sz="1600" b="1" i="1">
              <a:latin typeface="Cambria Math" panose="02040503050406030204" pitchFamily="18" charset="0"/>
              <a:ea typeface="Cambria Math" panose="02040503050406030204" pitchFamily="18" charset="0"/>
            </a:endParaRPr>
          </a:p>
        </xdr:txBody>
      </xdr:sp>
    </xdr:grpSp>
    <xdr:clientData/>
  </xdr:twoCellAnchor>
  <xdr:twoCellAnchor>
    <xdr:from>
      <xdr:col>17</xdr:col>
      <xdr:colOff>0</xdr:colOff>
      <xdr:row>21</xdr:row>
      <xdr:rowOff>0</xdr:rowOff>
    </xdr:from>
    <xdr:to>
      <xdr:col>26</xdr:col>
      <xdr:colOff>357309</xdr:colOff>
      <xdr:row>43</xdr:row>
      <xdr:rowOff>122304</xdr:rowOff>
    </xdr:to>
    <xdr:grpSp>
      <xdr:nvGrpSpPr>
        <xdr:cNvPr id="7" name="Группа 6">
          <a:extLst>
            <a:ext uri="{FF2B5EF4-FFF2-40B4-BE49-F238E27FC236}">
              <a16:creationId xmlns:a16="http://schemas.microsoft.com/office/drawing/2014/main" id="{7CF9C629-8E25-4483-81F1-60913A4D52D2}"/>
            </a:ext>
          </a:extLst>
        </xdr:cNvPr>
        <xdr:cNvGrpSpPr/>
      </xdr:nvGrpSpPr>
      <xdr:grpSpPr>
        <a:xfrm>
          <a:off x="9546771" y="4038600"/>
          <a:ext cx="5549795" cy="4193561"/>
          <a:chOff x="3151093" y="2967317"/>
          <a:chExt cx="4459942" cy="4061012"/>
        </a:xfrm>
      </xdr:grpSpPr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BB01DCE-BD05-4C45-8150-3F9C329A4D9B}"/>
              </a:ext>
            </a:extLst>
          </xdr:cNvPr>
          <xdr:cNvGrpSpPr/>
        </xdr:nvGrpSpPr>
        <xdr:grpSpPr>
          <a:xfrm>
            <a:off x="3151093" y="2967317"/>
            <a:ext cx="4459942" cy="4061012"/>
            <a:chOff x="5939117" y="3272116"/>
            <a:chExt cx="3823448" cy="3406589"/>
          </a:xfrm>
        </xdr:grpSpPr>
        <xdr:graphicFrame macro="">
          <xdr:nvGraphicFramePr>
            <xdr:cNvPr id="10" name="Диаграмма 9">
              <a:extLst>
                <a:ext uri="{FF2B5EF4-FFF2-40B4-BE49-F238E27FC236}">
                  <a16:creationId xmlns:a16="http://schemas.microsoft.com/office/drawing/2014/main" id="{5170D99F-002D-4662-83C8-B0E0F9E6450A}"/>
                </a:ext>
              </a:extLst>
            </xdr:cNvPr>
            <xdr:cNvGraphicFramePr/>
          </xdr:nvGraphicFramePr>
          <xdr:xfrm>
            <a:off x="5939117" y="3272116"/>
            <a:ext cx="3823448" cy="34065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8B1FDE58-6094-488B-9CEE-C7EB3A259185}"/>
                </a:ext>
              </a:extLst>
            </xdr:cNvPr>
            <xdr:cNvSpPr txBox="1"/>
          </xdr:nvSpPr>
          <xdr:spPr>
            <a:xfrm>
              <a:off x="5951887" y="3325907"/>
              <a:ext cx="365021" cy="35468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1">
                  <a:latin typeface="Cambria Math" panose="02040503050406030204" pitchFamily="18" charset="0"/>
                  <a:ea typeface="Cambria Math" panose="02040503050406030204" pitchFamily="18" charset="0"/>
                </a:rPr>
                <a:t>T, </a:t>
              </a:r>
              <a:r>
                <a:rPr lang="en-US" sz="1600" b="1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[C]</a:t>
              </a:r>
              <a:endParaRPr lang="ru-RU" sz="1600" b="1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xdr:grp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E43D024A-8FE7-4358-B196-D02A1A0FCEFE}"/>
              </a:ext>
            </a:extLst>
          </xdr:cNvPr>
          <xdr:cNvSpPr txBox="1"/>
        </xdr:nvSpPr>
        <xdr:spPr>
          <a:xfrm>
            <a:off x="7010790" y="6675200"/>
            <a:ext cx="531486" cy="307528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t">
            <a:noAutofit/>
          </a:bodyPr>
          <a:lstStyle/>
          <a:p>
            <a:r>
              <a:rPr lang="en-US" sz="1600" b="1" i="1">
                <a:latin typeface="Cambria Math" panose="02040503050406030204" pitchFamily="18" charset="0"/>
                <a:ea typeface="Cambria Math" panose="02040503050406030204" pitchFamily="18" charset="0"/>
              </a:rPr>
              <a:t>L, </a:t>
            </a:r>
            <a:r>
              <a:rPr lang="en-US" sz="1600" b="1" i="1" baseline="0">
                <a:latin typeface="Cambria Math" panose="02040503050406030204" pitchFamily="18" charset="0"/>
                <a:ea typeface="Cambria Math" panose="02040503050406030204" pitchFamily="18" charset="0"/>
              </a:rPr>
              <a:t>[m]</a:t>
            </a:r>
            <a:endParaRPr lang="ru-RU" sz="1600" b="1" i="1">
              <a:latin typeface="Cambria Math" panose="02040503050406030204" pitchFamily="18" charset="0"/>
              <a:ea typeface="Cambria Math" panose="02040503050406030204" pitchFamily="18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39D2-EFD4-46AF-8B5A-23F895758FE1}">
  <sheetPr codeName="Лист3"/>
  <dimension ref="A1:AJ20"/>
  <sheetViews>
    <sheetView zoomScale="85" zoomScaleNormal="85" workbookViewId="0">
      <selection activeCell="J9" sqref="J9"/>
    </sheetView>
  </sheetViews>
  <sheetFormatPr defaultRowHeight="14.4" x14ac:dyDescent="0.3"/>
  <cols>
    <col min="4" max="4" width="5.88671875" customWidth="1"/>
    <col min="5" max="5" width="5.6640625" customWidth="1"/>
    <col min="6" max="36" width="8.44140625" customWidth="1"/>
  </cols>
  <sheetData>
    <row r="1" spans="1:36" ht="15.6" thickTop="1" thickBot="1" x14ac:dyDescent="0.35">
      <c r="B1" s="2" t="s">
        <v>0</v>
      </c>
      <c r="C1" s="2">
        <v>0.1</v>
      </c>
    </row>
    <row r="2" spans="1:36" ht="15.6" thickTop="1" thickBot="1" x14ac:dyDescent="0.35">
      <c r="B2" s="2" t="s">
        <v>1</v>
      </c>
      <c r="C2" s="13">
        <f>C1/30</f>
        <v>3.3333333333333335E-3</v>
      </c>
    </row>
    <row r="3" spans="1:36" ht="15.6" thickTop="1" thickBot="1" x14ac:dyDescent="0.35">
      <c r="B3" s="2" t="s">
        <v>3</v>
      </c>
      <c r="C3" s="2">
        <v>60</v>
      </c>
    </row>
    <row r="4" spans="1:36" ht="15.6" thickTop="1" thickBot="1" x14ac:dyDescent="0.35">
      <c r="B4" s="2" t="s">
        <v>2</v>
      </c>
      <c r="C4" s="12">
        <f>(C7*C8*C2^2)/(2*C9)</f>
        <v>0.4333333333333334</v>
      </c>
      <c r="D4">
        <v>60.233333333333341</v>
      </c>
      <c r="G4">
        <f>C3/C4</f>
        <v>138.46153846153845</v>
      </c>
    </row>
    <row r="5" spans="1:36" ht="15" thickTop="1" x14ac:dyDescent="0.3">
      <c r="B5" s="10"/>
      <c r="C5" s="10"/>
      <c r="D5" s="3"/>
    </row>
    <row r="6" spans="1:36" ht="15" thickBot="1" x14ac:dyDescent="0.35">
      <c r="B6" s="3"/>
      <c r="C6" s="3"/>
    </row>
    <row r="7" spans="1:36" ht="15.6" thickTop="1" thickBot="1" x14ac:dyDescent="0.35">
      <c r="A7" s="3"/>
      <c r="B7" s="2" t="s">
        <v>4</v>
      </c>
      <c r="C7" s="2">
        <v>460</v>
      </c>
    </row>
    <row r="8" spans="1:36" ht="15.6" thickTop="1" thickBot="1" x14ac:dyDescent="0.35">
      <c r="B8" s="2" t="s">
        <v>5</v>
      </c>
      <c r="C8" s="2">
        <v>7800</v>
      </c>
    </row>
    <row r="9" spans="1:36" ht="15.6" thickTop="1" thickBot="1" x14ac:dyDescent="0.35">
      <c r="B9" s="2" t="s">
        <v>6</v>
      </c>
      <c r="C9" s="2">
        <v>46</v>
      </c>
    </row>
    <row r="10" spans="1:36" ht="15.6" thickTop="1" thickBot="1" x14ac:dyDescent="0.35">
      <c r="B10" s="11"/>
      <c r="C10" s="11"/>
      <c r="F10" s="3">
        <v>1</v>
      </c>
      <c r="G10" s="3">
        <f>F10+1</f>
        <v>2</v>
      </c>
      <c r="H10" s="3">
        <f t="shared" ref="H10:AJ10" si="0">G10+1</f>
        <v>3</v>
      </c>
      <c r="I10" s="3">
        <f t="shared" si="0"/>
        <v>4</v>
      </c>
      <c r="J10" s="3">
        <f t="shared" si="0"/>
        <v>5</v>
      </c>
      <c r="K10" s="3">
        <f t="shared" si="0"/>
        <v>6</v>
      </c>
      <c r="L10" s="3">
        <f t="shared" si="0"/>
        <v>7</v>
      </c>
      <c r="M10" s="3">
        <f t="shared" si="0"/>
        <v>8</v>
      </c>
      <c r="N10" s="3">
        <f t="shared" si="0"/>
        <v>9</v>
      </c>
      <c r="O10" s="3">
        <f t="shared" si="0"/>
        <v>10</v>
      </c>
      <c r="P10" s="3">
        <f t="shared" si="0"/>
        <v>11</v>
      </c>
      <c r="Q10" s="3">
        <f t="shared" si="0"/>
        <v>12</v>
      </c>
      <c r="R10" s="3">
        <f t="shared" si="0"/>
        <v>13</v>
      </c>
      <c r="S10" s="3">
        <f t="shared" si="0"/>
        <v>14</v>
      </c>
      <c r="T10" s="3">
        <f t="shared" si="0"/>
        <v>15</v>
      </c>
      <c r="U10" s="3">
        <f t="shared" si="0"/>
        <v>16</v>
      </c>
      <c r="V10" s="3">
        <f t="shared" si="0"/>
        <v>17</v>
      </c>
      <c r="W10" s="3">
        <f t="shared" si="0"/>
        <v>18</v>
      </c>
      <c r="X10" s="3">
        <f t="shared" si="0"/>
        <v>19</v>
      </c>
      <c r="Y10" s="3">
        <f t="shared" si="0"/>
        <v>20</v>
      </c>
      <c r="Z10" s="3">
        <f t="shared" si="0"/>
        <v>21</v>
      </c>
      <c r="AA10" s="3">
        <f t="shared" si="0"/>
        <v>22</v>
      </c>
      <c r="AB10" s="3">
        <f t="shared" si="0"/>
        <v>23</v>
      </c>
      <c r="AC10" s="3">
        <f t="shared" si="0"/>
        <v>24</v>
      </c>
      <c r="AD10" s="3">
        <f t="shared" si="0"/>
        <v>25</v>
      </c>
      <c r="AE10" s="3">
        <f t="shared" si="0"/>
        <v>26</v>
      </c>
      <c r="AF10" s="3">
        <f t="shared" si="0"/>
        <v>27</v>
      </c>
      <c r="AG10" s="3">
        <f t="shared" si="0"/>
        <v>28</v>
      </c>
      <c r="AH10" s="3">
        <f t="shared" si="0"/>
        <v>29</v>
      </c>
      <c r="AI10" s="3">
        <f t="shared" si="0"/>
        <v>30</v>
      </c>
      <c r="AJ10" s="3">
        <f t="shared" si="0"/>
        <v>31</v>
      </c>
    </row>
    <row r="11" spans="1:36" ht="15" thickBot="1" x14ac:dyDescent="0.35">
      <c r="A11" s="3"/>
      <c r="B11" s="3"/>
      <c r="C11" s="3"/>
      <c r="E11" s="1" t="s">
        <v>11</v>
      </c>
      <c r="F11" s="6">
        <v>0</v>
      </c>
      <c r="G11" s="6">
        <f t="shared" ref="G11:AJ11" si="1">F11+$C$2</f>
        <v>3.3333333333333335E-3</v>
      </c>
      <c r="H11" s="6">
        <f t="shared" si="1"/>
        <v>6.6666666666666671E-3</v>
      </c>
      <c r="I11" s="6">
        <f t="shared" si="1"/>
        <v>0.01</v>
      </c>
      <c r="J11" s="6">
        <f t="shared" si="1"/>
        <v>1.3333333333333334E-2</v>
      </c>
      <c r="K11" s="6">
        <f t="shared" si="1"/>
        <v>1.6666666666666666E-2</v>
      </c>
      <c r="L11" s="6">
        <f t="shared" si="1"/>
        <v>0.02</v>
      </c>
      <c r="M11" s="6">
        <f t="shared" si="1"/>
        <v>2.3333333333333334E-2</v>
      </c>
      <c r="N11" s="6">
        <f t="shared" si="1"/>
        <v>2.6666666666666668E-2</v>
      </c>
      <c r="O11" s="6">
        <f t="shared" si="1"/>
        <v>3.0000000000000002E-2</v>
      </c>
      <c r="P11" s="6">
        <f t="shared" si="1"/>
        <v>3.3333333333333333E-2</v>
      </c>
      <c r="Q11" s="6">
        <f t="shared" si="1"/>
        <v>3.6666666666666667E-2</v>
      </c>
      <c r="R11" s="6">
        <f t="shared" si="1"/>
        <v>0.04</v>
      </c>
      <c r="S11" s="6">
        <f t="shared" si="1"/>
        <v>4.3333333333333335E-2</v>
      </c>
      <c r="T11" s="6">
        <f t="shared" si="1"/>
        <v>4.6666666666666669E-2</v>
      </c>
      <c r="U11" s="6">
        <f t="shared" si="1"/>
        <v>0.05</v>
      </c>
      <c r="V11" s="6">
        <f t="shared" si="1"/>
        <v>5.3333333333333337E-2</v>
      </c>
      <c r="W11" s="6">
        <f t="shared" si="1"/>
        <v>5.6666666666666671E-2</v>
      </c>
      <c r="X11" s="6">
        <f t="shared" si="1"/>
        <v>6.0000000000000005E-2</v>
      </c>
      <c r="Y11" s="6">
        <f t="shared" si="1"/>
        <v>6.3333333333333339E-2</v>
      </c>
      <c r="Z11" s="6">
        <f t="shared" si="1"/>
        <v>6.6666666666666666E-2</v>
      </c>
      <c r="AA11" s="6">
        <f t="shared" si="1"/>
        <v>6.9999999999999993E-2</v>
      </c>
      <c r="AB11" s="6">
        <f t="shared" si="1"/>
        <v>7.333333333333332E-2</v>
      </c>
      <c r="AC11" s="6">
        <f t="shared" si="1"/>
        <v>7.6666666666666647E-2</v>
      </c>
      <c r="AD11" s="6">
        <f t="shared" si="1"/>
        <v>7.9999999999999974E-2</v>
      </c>
      <c r="AE11" s="6">
        <f t="shared" si="1"/>
        <v>8.3333333333333301E-2</v>
      </c>
      <c r="AF11" s="6">
        <f t="shared" si="1"/>
        <v>8.6666666666666628E-2</v>
      </c>
      <c r="AG11" s="6">
        <f t="shared" si="1"/>
        <v>8.9999999999999955E-2</v>
      </c>
      <c r="AH11" s="6">
        <f t="shared" si="1"/>
        <v>9.3333333333333282E-2</v>
      </c>
      <c r="AI11" s="6">
        <f t="shared" si="1"/>
        <v>9.6666666666666609E-2</v>
      </c>
      <c r="AJ11" s="6">
        <f t="shared" si="1"/>
        <v>9.9999999999999936E-2</v>
      </c>
    </row>
    <row r="12" spans="1:36" ht="15.6" thickTop="1" thickBot="1" x14ac:dyDescent="0.35">
      <c r="B12" s="2" t="s">
        <v>18</v>
      </c>
      <c r="C12" s="2">
        <v>300</v>
      </c>
      <c r="E12" s="1" t="s">
        <v>7</v>
      </c>
      <c r="F12" s="14">
        <f>C12</f>
        <v>300</v>
      </c>
      <c r="G12" s="14">
        <v>280.34602914679897</v>
      </c>
      <c r="H12" s="14">
        <v>260.69205829359794</v>
      </c>
      <c r="I12" s="14">
        <v>241.69187227593491</v>
      </c>
      <c r="J12" s="14">
        <v>222.69168625827183</v>
      </c>
      <c r="K12" s="14">
        <v>204.95390631913148</v>
      </c>
      <c r="L12" s="14">
        <v>187.21612637999107</v>
      </c>
      <c r="M12" s="14">
        <v>171.26453784334268</v>
      </c>
      <c r="N12" s="14">
        <v>155.31294930669429</v>
      </c>
      <c r="O12" s="14">
        <v>141.55671337374596</v>
      </c>
      <c r="P12" s="14">
        <v>127.80047744079765</v>
      </c>
      <c r="Q12" s="14">
        <v>116.51671674932982</v>
      </c>
      <c r="R12" s="14">
        <v>105.23295605786197</v>
      </c>
      <c r="S12" s="14">
        <v>96.561989352755049</v>
      </c>
      <c r="T12" s="14">
        <v>87.891022647648128</v>
      </c>
      <c r="U12" s="14">
        <v>81.842538774051832</v>
      </c>
      <c r="V12" s="14">
        <v>75.794054900455549</v>
      </c>
      <c r="W12" s="14">
        <v>72.26118711460424</v>
      </c>
      <c r="X12" s="14">
        <v>68.728319328752917</v>
      </c>
      <c r="Y12" s="14">
        <v>67.506108522455037</v>
      </c>
      <c r="Z12" s="14">
        <v>66.283897716157142</v>
      </c>
      <c r="AA12" s="14">
        <v>67.088962026000345</v>
      </c>
      <c r="AB12" s="14">
        <v>67.894026335843549</v>
      </c>
      <c r="AC12" s="14">
        <v>70.383127200086093</v>
      </c>
      <c r="AD12" s="14">
        <v>72.872228064328638</v>
      </c>
      <c r="AE12" s="14">
        <v>76.658491877071754</v>
      </c>
      <c r="AF12" s="14">
        <v>80.444755689814855</v>
      </c>
      <c r="AG12" s="14">
        <v>85.111263870845988</v>
      </c>
      <c r="AH12" s="14">
        <v>89.777772051877108</v>
      </c>
      <c r="AI12" s="14">
        <v>94.888886025938561</v>
      </c>
      <c r="AJ12" s="14">
        <v>100</v>
      </c>
    </row>
    <row r="13" spans="1:36" ht="15.6" thickTop="1" thickBot="1" x14ac:dyDescent="0.35">
      <c r="B13" s="2" t="s">
        <v>8</v>
      </c>
      <c r="C13" s="2">
        <v>100</v>
      </c>
    </row>
    <row r="14" spans="1:36" ht="15" thickTop="1" x14ac:dyDescent="0.3">
      <c r="E14" t="s">
        <v>9</v>
      </c>
      <c r="G14" s="17">
        <f>G12+($C$9*$C$4)/($C$8*$C$7)*(H12-2*G12+F12)/($C$2^2)</f>
        <v>280.34602914679897</v>
      </c>
      <c r="H14" s="17">
        <f t="shared" ref="H14:AI14" si="2">H12+($C$9*$C$4)/($C$8*$C$7)*(I12-2*H12+G12)/($C$2^2)</f>
        <v>261.01895071136693</v>
      </c>
      <c r="I14" s="17">
        <f t="shared" si="2"/>
        <v>241.69187227593488</v>
      </c>
      <c r="J14" s="17">
        <f t="shared" si="2"/>
        <v>223.32288929753321</v>
      </c>
      <c r="K14" s="17">
        <f t="shared" si="2"/>
        <v>204.95390631913145</v>
      </c>
      <c r="L14" s="17">
        <f t="shared" si="2"/>
        <v>188.10922208123708</v>
      </c>
      <c r="M14" s="17">
        <f t="shared" si="2"/>
        <v>171.26453784334268</v>
      </c>
      <c r="N14" s="17">
        <f t="shared" si="2"/>
        <v>156.41062560854431</v>
      </c>
      <c r="O14" s="17">
        <f t="shared" si="2"/>
        <v>141.55671337374596</v>
      </c>
      <c r="P14" s="17">
        <f t="shared" si="2"/>
        <v>129.0367150615379</v>
      </c>
      <c r="Q14" s="17">
        <f t="shared" si="2"/>
        <v>116.51671674932982</v>
      </c>
      <c r="R14" s="17">
        <f t="shared" si="2"/>
        <v>106.53935305104244</v>
      </c>
      <c r="S14" s="17">
        <f t="shared" si="2"/>
        <v>96.561989352755049</v>
      </c>
      <c r="T14" s="17">
        <f t="shared" si="2"/>
        <v>89.202264063403447</v>
      </c>
      <c r="U14" s="17">
        <f t="shared" si="2"/>
        <v>81.842538774051832</v>
      </c>
      <c r="V14" s="17">
        <f t="shared" si="2"/>
        <v>77.051862944328036</v>
      </c>
      <c r="W14" s="17">
        <f t="shared" si="2"/>
        <v>72.26118711460424</v>
      </c>
      <c r="X14" s="17">
        <f t="shared" si="2"/>
        <v>69.883647818529639</v>
      </c>
      <c r="Y14" s="17">
        <f t="shared" si="2"/>
        <v>67.506108522455037</v>
      </c>
      <c r="Z14" s="17">
        <f t="shared" si="2"/>
        <v>67.297535274227698</v>
      </c>
      <c r="AA14" s="17">
        <f t="shared" si="2"/>
        <v>67.088962026000345</v>
      </c>
      <c r="AB14" s="17">
        <f t="shared" si="2"/>
        <v>68.736044613043219</v>
      </c>
      <c r="AC14" s="17">
        <f t="shared" si="2"/>
        <v>70.383127200086093</v>
      </c>
      <c r="AD14" s="17">
        <f t="shared" si="2"/>
        <v>73.520809538578931</v>
      </c>
      <c r="AE14" s="17">
        <f t="shared" si="2"/>
        <v>76.658491877071754</v>
      </c>
      <c r="AF14" s="17">
        <f t="shared" si="2"/>
        <v>80.884877873958871</v>
      </c>
      <c r="AG14" s="17">
        <f t="shared" si="2"/>
        <v>85.111263870845988</v>
      </c>
      <c r="AH14" s="17">
        <f t="shared" si="2"/>
        <v>90.000074948392268</v>
      </c>
      <c r="AI14" s="17">
        <f t="shared" si="2"/>
        <v>94.888886025938547</v>
      </c>
      <c r="AJ14">
        <v>100</v>
      </c>
    </row>
    <row r="15" spans="1:36" x14ac:dyDescent="0.3">
      <c r="B15" s="5"/>
      <c r="C15" s="9"/>
    </row>
    <row r="16" spans="1:36" x14ac:dyDescent="0.3">
      <c r="B16" s="5"/>
      <c r="C16" s="9"/>
      <c r="E16" t="s">
        <v>10</v>
      </c>
      <c r="F16" s="7">
        <f>G16</f>
        <v>81367439.332252249</v>
      </c>
      <c r="G16" s="7">
        <f t="shared" ref="G16:AJ16" si="3">-$C$9*((G12-F12)/$C$2^2)</f>
        <v>81367439.332252249</v>
      </c>
      <c r="H16" s="7">
        <f t="shared" si="3"/>
        <v>81367439.332252249</v>
      </c>
      <c r="I16" s="7">
        <f t="shared" si="3"/>
        <v>78660770.113124907</v>
      </c>
      <c r="J16" s="7">
        <f t="shared" si="3"/>
        <v>78660770.113125145</v>
      </c>
      <c r="K16" s="7">
        <f t="shared" si="3"/>
        <v>73434408.948041037</v>
      </c>
      <c r="L16" s="7">
        <f t="shared" si="3"/>
        <v>73434408.948041275</v>
      </c>
      <c r="M16" s="7">
        <f t="shared" si="3"/>
        <v>66039576.541724317</v>
      </c>
      <c r="N16" s="7">
        <f t="shared" si="3"/>
        <v>66039576.541724317</v>
      </c>
      <c r="O16" s="7">
        <f t="shared" si="3"/>
        <v>56950816.762406074</v>
      </c>
      <c r="P16" s="7">
        <f t="shared" si="3"/>
        <v>56950816.762406006</v>
      </c>
      <c r="Q16" s="7">
        <f t="shared" si="3"/>
        <v>46714769.26267682</v>
      </c>
      <c r="R16" s="7">
        <f t="shared" si="3"/>
        <v>46714769.26267688</v>
      </c>
      <c r="S16" s="7">
        <f t="shared" si="3"/>
        <v>35897802.159142643</v>
      </c>
      <c r="T16" s="7">
        <f t="shared" si="3"/>
        <v>35897802.159142643</v>
      </c>
      <c r="U16" s="7">
        <f t="shared" si="3"/>
        <v>25040723.236688666</v>
      </c>
      <c r="V16" s="7">
        <f t="shared" si="3"/>
        <v>25040723.236688606</v>
      </c>
      <c r="W16" s="7">
        <f t="shared" si="3"/>
        <v>14626072.633424416</v>
      </c>
      <c r="X16" s="7">
        <f t="shared" si="3"/>
        <v>14626072.633424474</v>
      </c>
      <c r="Y16" s="7">
        <f t="shared" si="3"/>
        <v>5059952.7380732242</v>
      </c>
      <c r="Z16" s="7">
        <f t="shared" si="3"/>
        <v>5059952.7380732829</v>
      </c>
      <c r="AA16" s="7">
        <f t="shared" si="3"/>
        <v>-3332966.2427508612</v>
      </c>
      <c r="AB16" s="7">
        <f t="shared" si="3"/>
        <v>-3332966.2427508612</v>
      </c>
      <c r="AC16" s="7">
        <f t="shared" si="3"/>
        <v>-10304877.577964135</v>
      </c>
      <c r="AD16" s="7">
        <f t="shared" si="3"/>
        <v>-10304877.577964135</v>
      </c>
      <c r="AE16" s="7">
        <f t="shared" si="3"/>
        <v>-15675132.184756493</v>
      </c>
      <c r="AF16" s="7">
        <f t="shared" si="3"/>
        <v>-15675132.184756435</v>
      </c>
      <c r="AG16" s="7">
        <f t="shared" si="3"/>
        <v>-19319343.869468886</v>
      </c>
      <c r="AH16" s="7">
        <f t="shared" si="3"/>
        <v>-19319343.869468831</v>
      </c>
      <c r="AI16" s="7">
        <f t="shared" si="3"/>
        <v>-21160011.852614414</v>
      </c>
      <c r="AJ16" s="7">
        <f t="shared" si="3"/>
        <v>-21160011.852614354</v>
      </c>
    </row>
    <row r="17" spans="2:36" x14ac:dyDescent="0.3">
      <c r="B17" s="5"/>
      <c r="C17" s="9"/>
    </row>
    <row r="18" spans="2:36" x14ac:dyDescent="0.3"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9"/>
    </row>
    <row r="19" spans="2:36" x14ac:dyDescent="0.3">
      <c r="F19" s="4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5"/>
    </row>
    <row r="20" spans="2:36" x14ac:dyDescent="0.3"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</row>
  </sheetData>
  <conditionalFormatting sqref="F12:AJ12">
    <cfRule type="colorScale" priority="1">
      <colorScale>
        <cfvo type="min"/>
        <cfvo type="percent" val="50"/>
        <cfvo type="max"/>
        <color rgb="FF00B0F0"/>
        <color rgb="FFFFFF00"/>
        <color rgb="FFFF0000"/>
      </colorScale>
    </cfRule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J20"/>
  <sheetViews>
    <sheetView tabSelected="1" topLeftCell="A6" zoomScale="70" zoomScaleNormal="70" workbookViewId="0">
      <selection activeCell="W8" sqref="W8"/>
    </sheetView>
  </sheetViews>
  <sheetFormatPr defaultRowHeight="14.4" x14ac:dyDescent="0.3"/>
  <cols>
    <col min="4" max="4" width="5.88671875" customWidth="1"/>
    <col min="5" max="5" width="5.6640625" customWidth="1"/>
    <col min="6" max="36" width="8.44140625" customWidth="1"/>
  </cols>
  <sheetData>
    <row r="1" spans="1:36" ht="15.6" thickTop="1" thickBot="1" x14ac:dyDescent="0.35">
      <c r="B1" s="2" t="s">
        <v>0</v>
      </c>
      <c r="C1" s="2">
        <v>0.1</v>
      </c>
    </row>
    <row r="2" spans="1:36" ht="15.6" thickTop="1" thickBot="1" x14ac:dyDescent="0.35">
      <c r="B2" s="2" t="s">
        <v>1</v>
      </c>
      <c r="C2" s="13">
        <f>C1/30</f>
        <v>3.3333333333333335E-3</v>
      </c>
    </row>
    <row r="3" spans="1:36" ht="15.6" thickTop="1" thickBot="1" x14ac:dyDescent="0.35">
      <c r="B3" s="2" t="s">
        <v>3</v>
      </c>
      <c r="C3" s="2">
        <v>60</v>
      </c>
    </row>
    <row r="4" spans="1:36" ht="15.6" thickTop="1" thickBot="1" x14ac:dyDescent="0.35">
      <c r="B4" s="2" t="s">
        <v>2</v>
      </c>
      <c r="C4" s="12">
        <v>2</v>
      </c>
      <c r="D4">
        <v>62</v>
      </c>
      <c r="G4">
        <f>C3/C4</f>
        <v>30</v>
      </c>
    </row>
    <row r="5" spans="1:36" ht="15" thickTop="1" x14ac:dyDescent="0.3">
      <c r="B5" s="10"/>
      <c r="C5" s="10"/>
      <c r="D5" s="3"/>
    </row>
    <row r="6" spans="1:36" ht="15" thickBot="1" x14ac:dyDescent="0.35">
      <c r="B6" s="3"/>
      <c r="C6" s="3"/>
    </row>
    <row r="7" spans="1:36" ht="15.6" thickTop="1" thickBot="1" x14ac:dyDescent="0.35">
      <c r="A7" s="3"/>
      <c r="B7" s="2" t="s">
        <v>4</v>
      </c>
      <c r="C7" s="2">
        <v>460</v>
      </c>
    </row>
    <row r="8" spans="1:36" ht="15.6" thickTop="1" thickBot="1" x14ac:dyDescent="0.35">
      <c r="B8" s="2" t="s">
        <v>5</v>
      </c>
      <c r="C8" s="2">
        <v>7800</v>
      </c>
    </row>
    <row r="9" spans="1:36" ht="15.6" thickTop="1" thickBot="1" x14ac:dyDescent="0.35">
      <c r="B9" s="2" t="s">
        <v>6</v>
      </c>
      <c r="C9" s="2">
        <v>46</v>
      </c>
    </row>
    <row r="10" spans="1:36" ht="15.6" thickTop="1" thickBot="1" x14ac:dyDescent="0.35">
      <c r="B10" s="11"/>
      <c r="C10" s="11"/>
      <c r="F10" s="3">
        <v>1</v>
      </c>
      <c r="G10" s="3">
        <f>F10+1</f>
        <v>2</v>
      </c>
      <c r="H10" s="3">
        <f t="shared" ref="H10:AJ10" si="0">G10+1</f>
        <v>3</v>
      </c>
      <c r="I10" s="3">
        <f t="shared" si="0"/>
        <v>4</v>
      </c>
      <c r="J10" s="3">
        <f t="shared" si="0"/>
        <v>5</v>
      </c>
      <c r="K10" s="3">
        <f t="shared" si="0"/>
        <v>6</v>
      </c>
      <c r="L10" s="3">
        <f t="shared" si="0"/>
        <v>7</v>
      </c>
      <c r="M10" s="3">
        <f t="shared" si="0"/>
        <v>8</v>
      </c>
      <c r="N10" s="3">
        <f t="shared" si="0"/>
        <v>9</v>
      </c>
      <c r="O10" s="3">
        <f t="shared" si="0"/>
        <v>10</v>
      </c>
      <c r="P10" s="3">
        <f t="shared" si="0"/>
        <v>11</v>
      </c>
      <c r="Q10" s="3">
        <f t="shared" si="0"/>
        <v>12</v>
      </c>
      <c r="R10" s="3">
        <f t="shared" si="0"/>
        <v>13</v>
      </c>
      <c r="S10" s="3">
        <f t="shared" si="0"/>
        <v>14</v>
      </c>
      <c r="T10" s="3">
        <f t="shared" si="0"/>
        <v>15</v>
      </c>
      <c r="U10" s="3">
        <f t="shared" si="0"/>
        <v>16</v>
      </c>
      <c r="V10" s="3">
        <f t="shared" si="0"/>
        <v>17</v>
      </c>
      <c r="W10" s="3">
        <f t="shared" si="0"/>
        <v>18</v>
      </c>
      <c r="X10" s="3">
        <f t="shared" si="0"/>
        <v>19</v>
      </c>
      <c r="Y10" s="3">
        <f t="shared" si="0"/>
        <v>20</v>
      </c>
      <c r="Z10" s="3">
        <f t="shared" si="0"/>
        <v>21</v>
      </c>
      <c r="AA10" s="3">
        <f t="shared" si="0"/>
        <v>22</v>
      </c>
      <c r="AB10" s="3">
        <f t="shared" si="0"/>
        <v>23</v>
      </c>
      <c r="AC10" s="3">
        <f t="shared" si="0"/>
        <v>24</v>
      </c>
      <c r="AD10" s="3">
        <f t="shared" si="0"/>
        <v>25</v>
      </c>
      <c r="AE10" s="3">
        <f t="shared" si="0"/>
        <v>26</v>
      </c>
      <c r="AF10" s="3">
        <f t="shared" si="0"/>
        <v>27</v>
      </c>
      <c r="AG10" s="3">
        <f t="shared" si="0"/>
        <v>28</v>
      </c>
      <c r="AH10" s="3">
        <f t="shared" si="0"/>
        <v>29</v>
      </c>
      <c r="AI10" s="3">
        <f t="shared" si="0"/>
        <v>30</v>
      </c>
      <c r="AJ10" s="3">
        <f t="shared" si="0"/>
        <v>31</v>
      </c>
    </row>
    <row r="11" spans="1:36" ht="15" thickBot="1" x14ac:dyDescent="0.35">
      <c r="A11" s="3"/>
      <c r="B11" s="3"/>
      <c r="C11" s="3"/>
      <c r="E11" s="1" t="s">
        <v>11</v>
      </c>
      <c r="F11" s="6">
        <v>0</v>
      </c>
      <c r="G11" s="6">
        <f t="shared" ref="G11:AJ11" si="1">F11+$C$2</f>
        <v>3.3333333333333335E-3</v>
      </c>
      <c r="H11" s="6">
        <f t="shared" si="1"/>
        <v>6.6666666666666671E-3</v>
      </c>
      <c r="I11" s="6">
        <f t="shared" si="1"/>
        <v>0.01</v>
      </c>
      <c r="J11" s="6">
        <f t="shared" si="1"/>
        <v>1.3333333333333334E-2</v>
      </c>
      <c r="K11" s="6">
        <f t="shared" si="1"/>
        <v>1.6666666666666666E-2</v>
      </c>
      <c r="L11" s="6">
        <f t="shared" si="1"/>
        <v>0.02</v>
      </c>
      <c r="M11" s="6">
        <f t="shared" si="1"/>
        <v>2.3333333333333334E-2</v>
      </c>
      <c r="N11" s="6">
        <f t="shared" si="1"/>
        <v>2.6666666666666668E-2</v>
      </c>
      <c r="O11" s="6">
        <f t="shared" si="1"/>
        <v>3.0000000000000002E-2</v>
      </c>
      <c r="P11" s="6">
        <f t="shared" si="1"/>
        <v>3.3333333333333333E-2</v>
      </c>
      <c r="Q11" s="6">
        <f t="shared" si="1"/>
        <v>3.6666666666666667E-2</v>
      </c>
      <c r="R11" s="6">
        <f t="shared" si="1"/>
        <v>0.04</v>
      </c>
      <c r="S11" s="6">
        <f t="shared" si="1"/>
        <v>4.3333333333333335E-2</v>
      </c>
      <c r="T11" s="6">
        <f t="shared" si="1"/>
        <v>4.6666666666666669E-2</v>
      </c>
      <c r="U11" s="6">
        <f t="shared" si="1"/>
        <v>0.05</v>
      </c>
      <c r="V11" s="6">
        <f t="shared" si="1"/>
        <v>5.3333333333333337E-2</v>
      </c>
      <c r="W11" s="6">
        <f t="shared" si="1"/>
        <v>5.6666666666666671E-2</v>
      </c>
      <c r="X11" s="6">
        <f t="shared" si="1"/>
        <v>6.0000000000000005E-2</v>
      </c>
      <c r="Y11" s="6">
        <f t="shared" si="1"/>
        <v>6.3333333333333339E-2</v>
      </c>
      <c r="Z11" s="6">
        <f t="shared" si="1"/>
        <v>6.6666666666666666E-2</v>
      </c>
      <c r="AA11" s="6">
        <f t="shared" si="1"/>
        <v>6.9999999999999993E-2</v>
      </c>
      <c r="AB11" s="6">
        <f t="shared" si="1"/>
        <v>7.333333333333332E-2</v>
      </c>
      <c r="AC11" s="6">
        <f t="shared" si="1"/>
        <v>7.6666666666666647E-2</v>
      </c>
      <c r="AD11" s="6">
        <f t="shared" si="1"/>
        <v>7.9999999999999974E-2</v>
      </c>
      <c r="AE11" s="6">
        <f t="shared" si="1"/>
        <v>8.3333333333333301E-2</v>
      </c>
      <c r="AF11" s="6">
        <f t="shared" si="1"/>
        <v>8.6666666666666628E-2</v>
      </c>
      <c r="AG11" s="6">
        <f t="shared" si="1"/>
        <v>8.9999999999999955E-2</v>
      </c>
      <c r="AH11" s="6">
        <f t="shared" si="1"/>
        <v>9.3333333333333282E-2</v>
      </c>
      <c r="AI11" s="6">
        <f t="shared" si="1"/>
        <v>9.6666666666666609E-2</v>
      </c>
      <c r="AJ11" s="6">
        <f t="shared" si="1"/>
        <v>9.9999999999999936E-2</v>
      </c>
    </row>
    <row r="12" spans="1:36" ht="15.6" thickTop="1" thickBot="1" x14ac:dyDescent="0.35">
      <c r="B12" s="2" t="s">
        <v>18</v>
      </c>
      <c r="C12" s="2">
        <v>300</v>
      </c>
      <c r="E12" s="1" t="s">
        <v>7</v>
      </c>
      <c r="F12" s="14">
        <f>C12</f>
        <v>300</v>
      </c>
      <c r="G12" s="14">
        <v>280.35167641066431</v>
      </c>
      <c r="H12" s="14">
        <v>260.8717063164483</v>
      </c>
      <c r="I12" s="14">
        <v>241.72522650740132</v>
      </c>
      <c r="J12" s="14">
        <v>223.07105882213924</v>
      </c>
      <c r="K12" s="14">
        <v>205.05884148220761</v>
      </c>
      <c r="L12" s="14">
        <v>187.82648705928517</v>
      </c>
      <c r="M12" s="14">
        <v>171.4980444715784</v>
      </c>
      <c r="N12" s="14">
        <v>156.18201874307198</v>
      </c>
      <c r="O12" s="14">
        <v>141.97017644810035</v>
      </c>
      <c r="P12" s="14">
        <v>128.93683876697091</v>
      </c>
      <c r="Q12" s="14">
        <v>117.13863978503235</v>
      </c>
      <c r="R12" s="14">
        <v>106.61470672871378</v>
      </c>
      <c r="S12" s="14">
        <v>97.387202527873725</v>
      </c>
      <c r="T12" s="14">
        <v>89.462160242990052</v>
      </c>
      <c r="U12" s="14">
        <v>82.830533813546708</v>
      </c>
      <c r="V12" s="14">
        <v>77.469390089732968</v>
      </c>
      <c r="W12" s="14">
        <v>73.343172579225552</v>
      </c>
      <c r="X12" s="14">
        <v>70.404976796274354</v>
      </c>
      <c r="Y12" s="14">
        <v>68.597789324133842</v>
      </c>
      <c r="Z12" s="14">
        <v>67.855656364940188</v>
      </c>
      <c r="AA12" s="14">
        <v>68.104761340447936</v>
      </c>
      <c r="AB12" s="14">
        <v>69.26440384241495</v>
      </c>
      <c r="AC12" s="14">
        <v>71.247882961267763</v>
      </c>
      <c r="AD12" s="14">
        <v>73.963296091004551</v>
      </c>
      <c r="AE12" s="14">
        <v>77.314269394680196</v>
      </c>
      <c r="AF12" s="14">
        <v>81.200638231069192</v>
      </c>
      <c r="AG12" s="14">
        <v>85.519095308103189</v>
      </c>
      <c r="AH12" s="14">
        <v>90.163821710595016</v>
      </c>
      <c r="AI12" s="14">
        <v>95.027111987863847</v>
      </c>
      <c r="AJ12" s="14">
        <v>100</v>
      </c>
    </row>
    <row r="13" spans="1:36" ht="15.6" thickTop="1" thickBot="1" x14ac:dyDescent="0.35">
      <c r="B13" s="2" t="s">
        <v>8</v>
      </c>
      <c r="C13" s="2">
        <v>100</v>
      </c>
    </row>
    <row r="14" spans="1:36" ht="15" thickTop="1" x14ac:dyDescent="0.3">
      <c r="E14" t="s">
        <v>9</v>
      </c>
      <c r="G14" s="15">
        <f t="shared" ref="G14:AH14" si="2">H14*G18+G19</f>
        <v>280.72433416029071</v>
      </c>
      <c r="H14" s="15">
        <f t="shared" si="2"/>
        <v>261.61015334541958</v>
      </c>
      <c r="I14" s="15">
        <f t="shared" si="2"/>
        <v>242.81596624310268</v>
      </c>
      <c r="J14" s="15">
        <f t="shared" si="2"/>
        <v>224.49443302625639</v>
      </c>
      <c r="K14" s="15">
        <f t="shared" si="2"/>
        <v>206.7896952978609</v>
      </c>
      <c r="L14" s="15">
        <f t="shared" si="2"/>
        <v>189.83499422291521</v>
      </c>
      <c r="M14" s="15">
        <f t="shared" si="2"/>
        <v>173.75064625220924</v>
      </c>
      <c r="N14" s="15">
        <f t="shared" si="2"/>
        <v>158.64242571977661</v>
      </c>
      <c r="O14" s="15">
        <f t="shared" si="2"/>
        <v>144.600381543916</v>
      </c>
      <c r="P14" s="15">
        <f t="shared" si="2"/>
        <v>131.69809290957548</v>
      </c>
      <c r="Q14" s="15">
        <f t="shared" si="2"/>
        <v>119.99234773703029</v>
      </c>
      <c r="R14" s="15">
        <f t="shared" si="2"/>
        <v>109.52320934368417</v>
      </c>
      <c r="S14" s="15">
        <f t="shared" si="2"/>
        <v>100.31442208349191</v>
      </c>
      <c r="T14" s="15">
        <f t="shared" si="2"/>
        <v>92.374096630734215</v>
      </c>
      <c r="U14" s="15">
        <f t="shared" si="2"/>
        <v>85.695610279332314</v>
      </c>
      <c r="V14" s="15">
        <f t="shared" si="2"/>
        <v>80.258657063104167</v>
      </c>
      <c r="W14" s="15">
        <f t="shared" si="2"/>
        <v>76.030386202003541</v>
      </c>
      <c r="X14" s="15">
        <f t="shared" si="2"/>
        <v>72.966574577440028</v>
      </c>
      <c r="Y14" s="15">
        <f t="shared" si="2"/>
        <v>71.012788658048322</v>
      </c>
      <c r="Z14" s="15">
        <f t="shared" si="2"/>
        <v>70.105502450019529</v>
      </c>
      <c r="AA14" s="15">
        <f t="shared" si="2"/>
        <v>70.173149545525121</v>
      </c>
      <c r="AB14" s="15">
        <f t="shared" si="2"/>
        <v>71.137098196564153</v>
      </c>
      <c r="AC14" s="15">
        <f t="shared" si="2"/>
        <v>72.912547734401159</v>
      </c>
      <c r="AD14" s="15">
        <f t="shared" si="2"/>
        <v>75.409352007262626</v>
      </c>
      <c r="AE14" s="15">
        <f t="shared" si="2"/>
        <v>78.53278051050259</v>
      </c>
      <c r="AF14" s="15">
        <f t="shared" si="2"/>
        <v>82.184230497265617</v>
      </c>
      <c r="AG14" s="15">
        <f t="shared" si="2"/>
        <v>86.261903799380406</v>
      </c>
      <c r="AH14" s="15">
        <f t="shared" si="2"/>
        <v>90.661460781048689</v>
      </c>
      <c r="AI14" s="15">
        <f>AJ14*AI18+AI19</f>
        <v>95.276661359913561</v>
      </c>
      <c r="AJ14">
        <v>100</v>
      </c>
    </row>
    <row r="15" spans="1:36" x14ac:dyDescent="0.3">
      <c r="B15" s="5" t="s">
        <v>15</v>
      </c>
      <c r="C15" s="9">
        <f>$C$9/$C$2^2</f>
        <v>4139999.9999999991</v>
      </c>
    </row>
    <row r="16" spans="1:36" x14ac:dyDescent="0.3">
      <c r="B16" s="5" t="s">
        <v>16</v>
      </c>
      <c r="C16" s="9">
        <f>(2*C9)/(C2^2)+(C8*C7)/C4</f>
        <v>10073999.999999998</v>
      </c>
      <c r="E16" t="s">
        <v>10</v>
      </c>
      <c r="F16" s="7">
        <f>G16</f>
        <v>81344059.659849733</v>
      </c>
      <c r="G16" s="7">
        <f t="shared" ref="G16:AJ16" si="3">-$C$9*((G12-F12)/$C$2^2)</f>
        <v>81344059.659849733</v>
      </c>
      <c r="H16" s="7">
        <f t="shared" si="3"/>
        <v>80647076.190054283</v>
      </c>
      <c r="I16" s="7">
        <f t="shared" si="3"/>
        <v>79266426.40945448</v>
      </c>
      <c r="J16" s="7">
        <f t="shared" si="3"/>
        <v>77228254.216985002</v>
      </c>
      <c r="K16" s="7">
        <f t="shared" si="3"/>
        <v>74570579.787316903</v>
      </c>
      <c r="L16" s="7">
        <f t="shared" si="3"/>
        <v>71341947.310898885</v>
      </c>
      <c r="M16" s="7">
        <f t="shared" si="3"/>
        <v>67599752.313106045</v>
      </c>
      <c r="N16" s="7">
        <f t="shared" si="3"/>
        <v>63408346.51601655</v>
      </c>
      <c r="O16" s="7">
        <f t="shared" si="3"/>
        <v>58837027.101182543</v>
      </c>
      <c r="P16" s="7">
        <f t="shared" si="3"/>
        <v>53958017.999875858</v>
      </c>
      <c r="Q16" s="7">
        <f t="shared" si="3"/>
        <v>48844543.785225607</v>
      </c>
      <c r="R16" s="7">
        <f t="shared" si="3"/>
        <v>43569082.853158869</v>
      </c>
      <c r="S16" s="7">
        <f t="shared" si="3"/>
        <v>38201867.391477838</v>
      </c>
      <c r="T16" s="7">
        <f t="shared" si="3"/>
        <v>32809675.059418399</v>
      </c>
      <c r="U16" s="7">
        <f t="shared" si="3"/>
        <v>27454933.417895436</v>
      </c>
      <c r="V16" s="7">
        <f t="shared" si="3"/>
        <v>22195135.016588878</v>
      </c>
      <c r="W16" s="7">
        <f t="shared" si="3"/>
        <v>17082540.493500702</v>
      </c>
      <c r="X16" s="7">
        <f t="shared" si="3"/>
        <v>12164130.541417956</v>
      </c>
      <c r="Y16" s="7">
        <f t="shared" si="3"/>
        <v>7481756.1346617192</v>
      </c>
      <c r="Z16" s="7">
        <f t="shared" si="3"/>
        <v>3072430.451061727</v>
      </c>
      <c r="AA16" s="7">
        <f t="shared" si="3"/>
        <v>-1031294.5986020779</v>
      </c>
      <c r="AB16" s="7">
        <f t="shared" si="3"/>
        <v>-4800919.9581434354</v>
      </c>
      <c r="AC16" s="7">
        <f t="shared" si="3"/>
        <v>-8211603.5520506436</v>
      </c>
      <c r="AD16" s="7">
        <f t="shared" si="3"/>
        <v>-11241810.357110301</v>
      </c>
      <c r="AE16" s="7">
        <f t="shared" si="3"/>
        <v>-13873029.477217166</v>
      </c>
      <c r="AF16" s="7">
        <f t="shared" si="3"/>
        <v>-16089566.982650442</v>
      </c>
      <c r="AG16" s="7">
        <f t="shared" si="3"/>
        <v>-17878412.298920743</v>
      </c>
      <c r="AH16" s="7">
        <f t="shared" si="3"/>
        <v>-19229167.30631616</v>
      </c>
      <c r="AI16" s="7">
        <f t="shared" si="3"/>
        <v>-20134021.747892957</v>
      </c>
      <c r="AJ16" s="7">
        <f t="shared" si="3"/>
        <v>-20587756.370243669</v>
      </c>
    </row>
    <row r="17" spans="2:36" x14ac:dyDescent="0.3">
      <c r="B17" s="5" t="s">
        <v>17</v>
      </c>
      <c r="C17" s="9">
        <f>$C$9/$C$2^2</f>
        <v>4139999.9999999991</v>
      </c>
    </row>
    <row r="18" spans="2:36" x14ac:dyDescent="0.3">
      <c r="E18" t="s">
        <v>12</v>
      </c>
      <c r="F18">
        <v>0</v>
      </c>
      <c r="G18" s="16">
        <f>$C$15/($C$16-$C$17*F18)</f>
        <v>0.41095890410958902</v>
      </c>
      <c r="H18" s="16">
        <f t="shared" ref="H18:AI18" si="4">$C$15/($C$16-$C$17*G18)</f>
        <v>0.49446827726349057</v>
      </c>
      <c r="I18" s="16">
        <f t="shared" si="4"/>
        <v>0.51576565211146774</v>
      </c>
      <c r="J18" s="16">
        <f t="shared" si="4"/>
        <v>0.52149397895713612</v>
      </c>
      <c r="K18" s="16">
        <f t="shared" si="4"/>
        <v>0.52305649933975962</v>
      </c>
      <c r="L18" s="16">
        <f t="shared" si="4"/>
        <v>0.52348433598989241</v>
      </c>
      <c r="M18" s="16">
        <f t="shared" si="4"/>
        <v>0.52360160483419294</v>
      </c>
      <c r="N18" s="16">
        <f t="shared" si="4"/>
        <v>0.52363375707534621</v>
      </c>
      <c r="O18" s="16">
        <f t="shared" si="4"/>
        <v>0.52364257312109652</v>
      </c>
      <c r="P18" s="16">
        <f t="shared" si="4"/>
        <v>0.5236449905056163</v>
      </c>
      <c r="Q18" s="16">
        <f t="shared" si="4"/>
        <v>0.52364565336314417</v>
      </c>
      <c r="R18" s="16">
        <f t="shared" si="4"/>
        <v>0.52364583512190344</v>
      </c>
      <c r="S18" s="16">
        <f t="shared" si="4"/>
        <v>0.52364588496106157</v>
      </c>
      <c r="T18" s="16">
        <f t="shared" si="4"/>
        <v>0.52364589862720901</v>
      </c>
      <c r="U18" s="16">
        <f t="shared" si="4"/>
        <v>0.52364590237453534</v>
      </c>
      <c r="V18" s="16">
        <f t="shared" si="4"/>
        <v>0.52364590340207107</v>
      </c>
      <c r="W18" s="16">
        <f t="shared" si="4"/>
        <v>0.52364590368382657</v>
      </c>
      <c r="X18" s="16">
        <f t="shared" si="4"/>
        <v>0.52364590376108522</v>
      </c>
      <c r="Y18" s="16">
        <f t="shared" si="4"/>
        <v>0.52364590378227005</v>
      </c>
      <c r="Z18" s="16">
        <f t="shared" si="4"/>
        <v>0.52364590378807896</v>
      </c>
      <c r="AA18" s="16">
        <f t="shared" si="4"/>
        <v>0.5236459037896718</v>
      </c>
      <c r="AB18" s="16">
        <f t="shared" si="4"/>
        <v>0.52364590379010867</v>
      </c>
      <c r="AC18" s="16">
        <f t="shared" si="4"/>
        <v>0.52364590379022846</v>
      </c>
      <c r="AD18" s="16">
        <f t="shared" si="4"/>
        <v>0.52364590379026121</v>
      </c>
      <c r="AE18" s="16">
        <f t="shared" si="4"/>
        <v>0.52364590379027021</v>
      </c>
      <c r="AF18" s="16">
        <f t="shared" si="4"/>
        <v>0.52364590379027265</v>
      </c>
      <c r="AG18" s="16">
        <f t="shared" si="4"/>
        <v>0.52364590379027331</v>
      </c>
      <c r="AH18" s="16">
        <f t="shared" si="4"/>
        <v>0.52364590379027354</v>
      </c>
      <c r="AI18" s="16">
        <f t="shared" si="4"/>
        <v>0.52364590379027354</v>
      </c>
      <c r="AJ18" s="9"/>
    </row>
    <row r="19" spans="2:36" x14ac:dyDescent="0.3">
      <c r="E19" t="s">
        <v>13</v>
      </c>
      <c r="F19" s="4">
        <f>F12</f>
        <v>300</v>
      </c>
      <c r="G19" s="16">
        <f>(F19*$C$17-G20)/($C$16-$C$17*F18)</f>
        <v>173.21331223751557</v>
      </c>
      <c r="H19" s="16">
        <f t="shared" ref="H19:AI19" si="5">(G19*$C$17-H20)/($C$16-$C$17*G18)</f>
        <v>141.54536082512271</v>
      </c>
      <c r="I19" s="16">
        <f t="shared" si="5"/>
        <v>127.02944859792133</v>
      </c>
      <c r="J19" s="16">
        <f t="shared" si="5"/>
        <v>116.65485201804114</v>
      </c>
      <c r="K19" s="16">
        <f t="shared" si="5"/>
        <v>107.49526776743939</v>
      </c>
      <c r="L19" s="16">
        <f t="shared" si="5"/>
        <v>98.879252541762781</v>
      </c>
      <c r="M19" s="16">
        <f t="shared" si="5"/>
        <v>90.685217550544962</v>
      </c>
      <c r="N19" s="16">
        <f t="shared" si="5"/>
        <v>82.924784657407315</v>
      </c>
      <c r="O19" s="16">
        <f t="shared" si="5"/>
        <v>75.637653297604643</v>
      </c>
      <c r="P19" s="16">
        <f t="shared" si="5"/>
        <v>68.86470111807165</v>
      </c>
      <c r="Q19" s="16">
        <f t="shared" si="5"/>
        <v>62.640995221828362</v>
      </c>
      <c r="R19" s="16">
        <f t="shared" si="5"/>
        <v>56.99398001700294</v>
      </c>
      <c r="S19" s="16">
        <f t="shared" si="5"/>
        <v>51.94310650581248</v>
      </c>
      <c r="T19" s="16">
        <f t="shared" si="5"/>
        <v>47.499941777606161</v>
      </c>
      <c r="U19" s="16">
        <f t="shared" si="5"/>
        <v>43.668493378154757</v>
      </c>
      <c r="V19" s="16">
        <f t="shared" si="5"/>
        <v>40.445656794347663</v>
      </c>
      <c r="W19" s="16">
        <f t="shared" si="5"/>
        <v>37.821738318686634</v>
      </c>
      <c r="X19" s="16">
        <f t="shared" si="5"/>
        <v>35.781018682001374</v>
      </c>
      <c r="Y19" s="16">
        <f t="shared" si="5"/>
        <v>34.302329467497692</v>
      </c>
      <c r="Z19" s="16">
        <f t="shared" si="5"/>
        <v>33.359620134597002</v>
      </c>
      <c r="AA19" s="16">
        <f t="shared" si="5"/>
        <v>32.922499467410645</v>
      </c>
      <c r="AB19" s="16">
        <f t="shared" si="5"/>
        <v>32.956741240544211</v>
      </c>
      <c r="AC19" s="16">
        <f t="shared" si="5"/>
        <v>33.424749448322643</v>
      </c>
      <c r="AD19" s="16">
        <f t="shared" si="5"/>
        <v>34.285983179678283</v>
      </c>
      <c r="AE19" s="16">
        <f t="shared" si="5"/>
        <v>35.497344854454056</v>
      </c>
      <c r="AF19" s="16">
        <f t="shared" si="5"/>
        <v>37.013537919569508</v>
      </c>
      <c r="AG19" s="16">
        <f t="shared" si="5"/>
        <v>38.787401229741754</v>
      </c>
      <c r="AH19" s="16">
        <f t="shared" si="5"/>
        <v>40.770227333116921</v>
      </c>
      <c r="AI19" s="16">
        <f t="shared" si="5"/>
        <v>42.912070980886213</v>
      </c>
      <c r="AJ19" s="15"/>
    </row>
    <row r="20" spans="2:36" x14ac:dyDescent="0.3">
      <c r="E20" t="s">
        <v>14</v>
      </c>
      <c r="F20" s="8">
        <f>-($C$8*$C$7)/$C$4*F12</f>
        <v>-538200000</v>
      </c>
      <c r="G20" s="8">
        <f t="shared" ref="G20:AI20" si="6">-($C$8*$C$7)/$C$4*G12</f>
        <v>-502950907.48073179</v>
      </c>
      <c r="H20" s="8">
        <f t="shared" si="6"/>
        <v>-468003841.13170826</v>
      </c>
      <c r="I20" s="8">
        <f t="shared" si="6"/>
        <v>-433655056.35427797</v>
      </c>
      <c r="J20" s="8">
        <f t="shared" si="6"/>
        <v>-400189479.52691782</v>
      </c>
      <c r="K20" s="8">
        <f t="shared" si="6"/>
        <v>-367875561.61908048</v>
      </c>
      <c r="L20" s="8">
        <f t="shared" si="6"/>
        <v>-336960717.78435761</v>
      </c>
      <c r="M20" s="8">
        <f t="shared" si="6"/>
        <v>-307667491.78201163</v>
      </c>
      <c r="N20" s="8">
        <f t="shared" si="6"/>
        <v>-280190541.62507111</v>
      </c>
      <c r="O20" s="8">
        <f t="shared" si="6"/>
        <v>-254694496.54789203</v>
      </c>
      <c r="P20" s="8">
        <f t="shared" si="6"/>
        <v>-231312688.74794582</v>
      </c>
      <c r="Q20" s="8">
        <f t="shared" si="6"/>
        <v>-210146719.77434805</v>
      </c>
      <c r="R20" s="8">
        <f t="shared" si="6"/>
        <v>-191266783.87131253</v>
      </c>
      <c r="S20" s="8">
        <f t="shared" si="6"/>
        <v>-174712641.33500546</v>
      </c>
      <c r="T20" s="8">
        <f t="shared" si="6"/>
        <v>-160495115.47592416</v>
      </c>
      <c r="U20" s="8">
        <f t="shared" si="6"/>
        <v>-148597977.66150281</v>
      </c>
      <c r="V20" s="8">
        <f t="shared" si="6"/>
        <v>-138980085.82098094</v>
      </c>
      <c r="W20" s="8">
        <f t="shared" si="6"/>
        <v>-131577651.60713065</v>
      </c>
      <c r="X20" s="8">
        <f t="shared" si="6"/>
        <v>-126306528.37251619</v>
      </c>
      <c r="Y20" s="8">
        <f t="shared" si="6"/>
        <v>-123064434.04749611</v>
      </c>
      <c r="Z20" s="8">
        <f t="shared" si="6"/>
        <v>-121733047.5187027</v>
      </c>
      <c r="AA20" s="8">
        <f t="shared" si="6"/>
        <v>-122179941.84476359</v>
      </c>
      <c r="AB20" s="8">
        <f t="shared" si="6"/>
        <v>-124260340.49329242</v>
      </c>
      <c r="AC20" s="8">
        <f t="shared" si="6"/>
        <v>-127818702.03251436</v>
      </c>
      <c r="AD20" s="8">
        <f t="shared" si="6"/>
        <v>-132690153.18726216</v>
      </c>
      <c r="AE20" s="8">
        <f t="shared" si="6"/>
        <v>-138701799.29405627</v>
      </c>
      <c r="AF20" s="8">
        <f t="shared" si="6"/>
        <v>-145673944.98653814</v>
      </c>
      <c r="AG20" s="8">
        <f t="shared" si="6"/>
        <v>-153421256.98273712</v>
      </c>
      <c r="AH20" s="8">
        <f t="shared" si="6"/>
        <v>-161753896.14880747</v>
      </c>
      <c r="AI20" s="8">
        <f t="shared" si="6"/>
        <v>-170478638.90622774</v>
      </c>
      <c r="AJ20" s="8"/>
    </row>
  </sheetData>
  <conditionalFormatting sqref="F12:AJ12">
    <cfRule type="colorScale" priority="1">
      <colorScale>
        <cfvo type="min"/>
        <cfvo type="percent" val="50"/>
        <cfvo type="max"/>
        <color rgb="FF00B0F0"/>
        <color rgb="FFFFFF00"/>
        <color rgb="FFFF0000"/>
      </colorScale>
    </cfRule>
    <cfRule type="colorScale" priority="2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</vt:lpstr>
      <vt:lpstr>Неявная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Николай</dc:creator>
  <cp:lastModifiedBy>Николай</cp:lastModifiedBy>
  <dcterms:created xsi:type="dcterms:W3CDTF">2015-06-05T18:19:34Z</dcterms:created>
  <dcterms:modified xsi:type="dcterms:W3CDTF">2021-10-12T12:17:20Z</dcterms:modified>
</cp:coreProperties>
</file>