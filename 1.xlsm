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BDB5EC4A-8E31-440E-B338-3F6A8EDB914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5" i="1" s="1"/>
  <c r="AJ16" i="1"/>
  <c r="H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F16" i="1"/>
  <c r="C5" i="1"/>
  <c r="Z15" i="1" s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AI11" i="1"/>
  <c r="AJ11" i="1" s="1"/>
  <c r="M11" i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H11" i="1"/>
  <c r="I11" i="1" s="1"/>
  <c r="J11" i="1" s="1"/>
  <c r="K11" i="1" s="1"/>
  <c r="L11" i="1" s="1"/>
  <c r="G11" i="1"/>
  <c r="G16" i="1" l="1"/>
  <c r="X15" i="1"/>
  <c r="R15" i="1"/>
  <c r="O15" i="1"/>
  <c r="AI15" i="1"/>
  <c r="AB15" i="1"/>
  <c r="P15" i="1"/>
  <c r="K15" i="1"/>
  <c r="AD15" i="1"/>
  <c r="S15" i="1"/>
  <c r="L15" i="1"/>
  <c r="AH15" i="1"/>
  <c r="W15" i="1"/>
  <c r="N15" i="1"/>
  <c r="AA15" i="1"/>
  <c r="T15" i="1"/>
  <c r="AE15" i="1"/>
  <c r="V15" i="1"/>
  <c r="H15" i="1"/>
  <c r="AF15" i="1"/>
  <c r="I15" i="1"/>
  <c r="Q15" i="1"/>
  <c r="Y15" i="1"/>
  <c r="AG15" i="1"/>
  <c r="J15" i="1"/>
  <c r="M15" i="1"/>
  <c r="U15" i="1"/>
  <c r="AC15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<sst xmlns="http://schemas.openxmlformats.org/spreadsheetml/2006/main" count="13" uniqueCount="12">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</sst>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6" formatCode="0.0000"/>
    <numFmt numFmtId="167" formatCode="0.000"/>
    <numFmt numFmtId="170" formatCode="_-* #,##0_-;\-* #,##0_-;_-* &quot;-&quot;??_-;_-@_-"/>
    <numFmt numFmtId="173" formatCode="_-* #,##0.0\ _₽_-;\-* #,##0.0\ _₽_-;_-* &quot;-&quot;???\ _₽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166" fontId="0" fillId="0" borderId="1" xfId="0" applyNumberFormat="1" applyBorder="1"/>
    <xf numFmtId="0" fontId="0" fillId="0" borderId="2" xfId="0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170" fontId="0" fillId="0" borderId="0" xfId="1" applyNumberFormat="1" applyFont="1"/>
    <xf numFmtId="173" fontId="0" fillId="0" borderId="0" xfId="0" applyNumberForma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_-* #\ ##0.0\ _₽_-;\-* #\ ##0.0\ _₽_-;_-* "-"???\ _₽_-;_-@_-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B-4090-B084-6431B7EC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147917</xdr:colOff>
      <xdr:row>18</xdr:row>
      <xdr:rowOff>26893</xdr:rowOff>
    </xdr:from>
    <xdr:to>
      <xdr:col>14</xdr:col>
      <xdr:colOff>493059</xdr:colOff>
      <xdr:row>40</xdr:row>
      <xdr:rowOff>143434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21AEB90-7D7E-4634-A1E8-59849D075C43}"/>
            </a:ext>
          </a:extLst>
        </xdr:cNvPr>
        <xdr:cNvGrpSpPr/>
      </xdr:nvGrpSpPr>
      <xdr:grpSpPr>
        <a:xfrm>
          <a:off x="2765611" y="3469340"/>
          <a:ext cx="6396319" cy="4061012"/>
          <a:chOff x="3151093" y="2967317"/>
          <a:chExt cx="4459942" cy="4061012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2333DC3-F282-4FA4-9E5E-E159EF77C5F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1EE562F-4367-41C4-9367-A54680F74072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C3383C-AD24-487C-8CD3-72B45EA9B02B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161A9E8-7195-4AE7-BF75-BD9EA784A2C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J16"/>
  <sheetViews>
    <sheetView tabSelected="1" topLeftCell="A11" zoomScale="85" zoomScaleNormal="85" workbookViewId="0">
      <selection activeCell="R25" sqref="R25"/>
    </sheetView>
  </sheetViews>
  <sheetFormatPr defaultRowHeight="14.4" x14ac:dyDescent="0.3"/>
  <cols>
    <col min="4" max="4" width="5.88671875" customWidth="1"/>
    <col min="5" max="5" width="5.6640625" customWidth="1"/>
    <col min="6" max="36" width="9.77734375" customWidth="1"/>
  </cols>
  <sheetData>
    <row r="2" spans="1:36" ht="15" thickBot="1" x14ac:dyDescent="0.35"/>
    <row r="3" spans="1:36" ht="15.6" thickTop="1" thickBot="1" x14ac:dyDescent="0.35">
      <c r="B3" s="3" t="s">
        <v>0</v>
      </c>
      <c r="C3" s="3">
        <v>0.1</v>
      </c>
    </row>
    <row r="4" spans="1:36" ht="15.6" thickTop="1" thickBot="1" x14ac:dyDescent="0.35">
      <c r="B4" s="3" t="s">
        <v>1</v>
      </c>
      <c r="C4" s="4">
        <f>C3/30</f>
        <v>3.3333333333333335E-3</v>
      </c>
    </row>
    <row r="5" spans="1:36" ht="15.6" thickTop="1" thickBot="1" x14ac:dyDescent="0.35">
      <c r="B5" s="3" t="s">
        <v>2</v>
      </c>
      <c r="C5" s="4">
        <f>(C8*C9*C4^2)/(2*C10)</f>
        <v>0.4333333333333334</v>
      </c>
    </row>
    <row r="6" spans="1:36" ht="15.6" thickTop="1" thickBot="1" x14ac:dyDescent="0.35">
      <c r="B6" s="3" t="s">
        <v>3</v>
      </c>
      <c r="C6" s="3">
        <v>5000</v>
      </c>
      <c r="D6">
        <v>5000.2333333333345</v>
      </c>
      <c r="F6" s="5"/>
    </row>
    <row r="7" spans="1:36" ht="15.6" thickTop="1" thickBot="1" x14ac:dyDescent="0.35">
      <c r="A7" s="5"/>
      <c r="B7" s="6"/>
      <c r="C7" s="6"/>
      <c r="D7" s="5"/>
    </row>
    <row r="8" spans="1:36" ht="15.6" thickTop="1" thickBot="1" x14ac:dyDescent="0.35">
      <c r="B8" s="3" t="s">
        <v>4</v>
      </c>
      <c r="C8" s="3">
        <v>460</v>
      </c>
    </row>
    <row r="9" spans="1:36" ht="15.6" thickTop="1" thickBot="1" x14ac:dyDescent="0.35">
      <c r="B9" s="3" t="s">
        <v>5</v>
      </c>
      <c r="C9" s="3">
        <v>7800</v>
      </c>
    </row>
    <row r="10" spans="1:36" ht="15.6" thickTop="1" thickBot="1" x14ac:dyDescent="0.35">
      <c r="B10" s="3" t="s">
        <v>6</v>
      </c>
      <c r="C10" s="3">
        <v>46</v>
      </c>
    </row>
    <row r="11" spans="1:36" ht="15.6" thickTop="1" thickBot="1" x14ac:dyDescent="0.35">
      <c r="A11" s="5"/>
      <c r="B11" s="6"/>
      <c r="C11" s="6"/>
      <c r="F11" s="1">
        <v>1</v>
      </c>
      <c r="G11" s="1">
        <f>F11+1</f>
        <v>2</v>
      </c>
      <c r="H11" s="1">
        <f t="shared" ref="H11:AJ11" si="0">G11+1</f>
        <v>3</v>
      </c>
      <c r="I11" s="1">
        <f t="shared" si="0"/>
        <v>4</v>
      </c>
      <c r="J11" s="1">
        <f t="shared" si="0"/>
        <v>5</v>
      </c>
      <c r="K11" s="1">
        <f t="shared" si="0"/>
        <v>6</v>
      </c>
      <c r="L11" s="1">
        <f t="shared" si="0"/>
        <v>7</v>
      </c>
      <c r="M11" s="1">
        <f t="shared" si="0"/>
        <v>8</v>
      </c>
      <c r="N11" s="1">
        <f t="shared" si="0"/>
        <v>9</v>
      </c>
      <c r="O11" s="1">
        <f t="shared" si="0"/>
        <v>10</v>
      </c>
      <c r="P11" s="1">
        <f t="shared" si="0"/>
        <v>11</v>
      </c>
      <c r="Q11" s="1">
        <f t="shared" si="0"/>
        <v>12</v>
      </c>
      <c r="R11" s="1">
        <f t="shared" si="0"/>
        <v>13</v>
      </c>
      <c r="S11" s="1">
        <f t="shared" si="0"/>
        <v>14</v>
      </c>
      <c r="T11" s="1">
        <f t="shared" si="0"/>
        <v>15</v>
      </c>
      <c r="U11" s="1">
        <f t="shared" si="0"/>
        <v>16</v>
      </c>
      <c r="V11" s="1">
        <f t="shared" si="0"/>
        <v>17</v>
      </c>
      <c r="W11" s="1">
        <f t="shared" si="0"/>
        <v>18</v>
      </c>
      <c r="X11" s="1">
        <f t="shared" si="0"/>
        <v>19</v>
      </c>
      <c r="Y11" s="1">
        <f t="shared" si="0"/>
        <v>20</v>
      </c>
      <c r="Z11" s="1">
        <f t="shared" si="0"/>
        <v>21</v>
      </c>
      <c r="AA11" s="1">
        <f t="shared" si="0"/>
        <v>22</v>
      </c>
      <c r="AB11" s="1">
        <f t="shared" si="0"/>
        <v>23</v>
      </c>
      <c r="AC11" s="1">
        <f t="shared" si="0"/>
        <v>24</v>
      </c>
      <c r="AD11" s="1">
        <f t="shared" si="0"/>
        <v>25</v>
      </c>
      <c r="AE11" s="1">
        <f t="shared" si="0"/>
        <v>26</v>
      </c>
      <c r="AF11" s="1">
        <f t="shared" si="0"/>
        <v>27</v>
      </c>
      <c r="AG11" s="1">
        <f t="shared" si="0"/>
        <v>28</v>
      </c>
      <c r="AH11" s="1">
        <f t="shared" si="0"/>
        <v>29</v>
      </c>
      <c r="AI11" s="1">
        <f t="shared" si="0"/>
        <v>30</v>
      </c>
      <c r="AJ11" s="1">
        <f t="shared" si="0"/>
        <v>31</v>
      </c>
    </row>
    <row r="12" spans="1:36" ht="15.6" thickTop="1" thickBot="1" x14ac:dyDescent="0.35">
      <c r="B12" s="3" t="s">
        <v>11</v>
      </c>
      <c r="C12" s="3">
        <v>92000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1">G12+$C$4</f>
        <v>6.6666666666666671E-3</v>
      </c>
      <c r="I12" s="2">
        <f t="shared" si="1"/>
        <v>0.01</v>
      </c>
      <c r="J12" s="2">
        <f t="shared" si="1"/>
        <v>1.3333333333333334E-2</v>
      </c>
      <c r="K12" s="2">
        <f t="shared" si="1"/>
        <v>1.6666666666666666E-2</v>
      </c>
      <c r="L12" s="2">
        <f t="shared" si="1"/>
        <v>0.02</v>
      </c>
      <c r="M12" s="2">
        <f t="shared" si="1"/>
        <v>2.3333333333333334E-2</v>
      </c>
      <c r="N12" s="2">
        <f t="shared" si="1"/>
        <v>2.6666666666666668E-2</v>
      </c>
      <c r="O12" s="2">
        <f t="shared" si="1"/>
        <v>3.0000000000000002E-2</v>
      </c>
      <c r="P12" s="2">
        <f t="shared" si="1"/>
        <v>3.3333333333333333E-2</v>
      </c>
      <c r="Q12" s="2">
        <f t="shared" si="1"/>
        <v>3.6666666666666667E-2</v>
      </c>
      <c r="R12" s="2">
        <f t="shared" si="1"/>
        <v>0.04</v>
      </c>
      <c r="S12" s="2">
        <f t="shared" si="1"/>
        <v>4.3333333333333335E-2</v>
      </c>
      <c r="T12" s="2">
        <f t="shared" si="1"/>
        <v>4.6666666666666669E-2</v>
      </c>
      <c r="U12" s="2">
        <f t="shared" si="1"/>
        <v>0.05</v>
      </c>
      <c r="V12" s="2">
        <f t="shared" si="1"/>
        <v>5.3333333333333337E-2</v>
      </c>
      <c r="W12" s="2">
        <f t="shared" si="1"/>
        <v>5.6666666666666671E-2</v>
      </c>
      <c r="X12" s="2">
        <f t="shared" si="1"/>
        <v>6.0000000000000005E-2</v>
      </c>
      <c r="Y12" s="2">
        <f t="shared" si="1"/>
        <v>6.3333333333333339E-2</v>
      </c>
      <c r="Z12" s="2">
        <f t="shared" si="1"/>
        <v>6.6666666666666666E-2</v>
      </c>
      <c r="AA12" s="2">
        <f t="shared" si="1"/>
        <v>6.9999999999999993E-2</v>
      </c>
      <c r="AB12" s="2">
        <f t="shared" si="1"/>
        <v>7.333333333333332E-2</v>
      </c>
      <c r="AC12" s="2">
        <f t="shared" si="1"/>
        <v>7.6666666666666647E-2</v>
      </c>
      <c r="AD12" s="2">
        <f t="shared" si="1"/>
        <v>7.9999999999999974E-2</v>
      </c>
      <c r="AE12" s="2">
        <f t="shared" si="1"/>
        <v>8.3333333333333301E-2</v>
      </c>
      <c r="AF12" s="2">
        <f t="shared" si="1"/>
        <v>8.6666666666666628E-2</v>
      </c>
      <c r="AG12" s="2">
        <f t="shared" si="1"/>
        <v>8.9999999999999955E-2</v>
      </c>
      <c r="AH12" s="2">
        <f t="shared" si="1"/>
        <v>9.3333333333333282E-2</v>
      </c>
      <c r="AI12" s="2">
        <f t="shared" si="1"/>
        <v>9.6666666666666609E-2</v>
      </c>
      <c r="AJ12" s="2">
        <f t="shared" si="1"/>
        <v>9.9999999999999936E-2</v>
      </c>
    </row>
    <row r="13" spans="1:36" ht="15.6" thickTop="1" thickBot="1" x14ac:dyDescent="0.35">
      <c r="B13" s="3" t="s">
        <v>8</v>
      </c>
      <c r="C13" s="3">
        <v>100</v>
      </c>
      <c r="E13" t="s">
        <v>7</v>
      </c>
      <c r="F13" s="8">
        <f>F16/C10*C4+G13</f>
        <v>299.99997763108735</v>
      </c>
      <c r="G13" s="8">
        <v>293.33331096442066</v>
      </c>
      <c r="H13" s="8">
        <v>286.6666443611611</v>
      </c>
      <c r="I13" s="8">
        <v>279.99997782112894</v>
      </c>
      <c r="J13" s="8">
        <v>273.33331134396514</v>
      </c>
      <c r="K13" s="8">
        <v>266.66664492913264</v>
      </c>
      <c r="L13" s="8">
        <v>259.99997857591751</v>
      </c>
      <c r="M13" s="8">
        <v>253.3333122834313</v>
      </c>
      <c r="N13" s="8">
        <v>246.66664605061328</v>
      </c>
      <c r="O13" s="8">
        <v>239.99997987623377</v>
      </c>
      <c r="P13" s="8">
        <v>233.33331375889719</v>
      </c>
      <c r="Q13" s="8">
        <v>226.66664769704656</v>
      </c>
      <c r="R13" s="8">
        <v>219.9999816889673</v>
      </c>
      <c r="S13" s="8">
        <v>213.33331573279273</v>
      </c>
      <c r="T13" s="8">
        <v>206.66664982650872</v>
      </c>
      <c r="U13" s="8">
        <v>199.99998396796005</v>
      </c>
      <c r="V13" s="8">
        <v>193.33331815485587</v>
      </c>
      <c r="W13" s="8">
        <v>186.6666523847768</v>
      </c>
      <c r="X13" s="8">
        <v>179.99998665518126</v>
      </c>
      <c r="Y13" s="8">
        <v>173.33332096341309</v>
      </c>
      <c r="Z13" s="8">
        <v>166.66665530670878</v>
      </c>
      <c r="AA13" s="8">
        <v>159.9999896822055</v>
      </c>
      <c r="AB13" s="8">
        <v>153.33332408694912</v>
      </c>
      <c r="AC13" s="8">
        <v>146.66665851790265</v>
      </c>
      <c r="AD13" s="8">
        <v>139.99999297195473</v>
      </c>
      <c r="AE13" s="8">
        <v>133.33332744592857</v>
      </c>
      <c r="AF13" s="8">
        <v>126.66666193659087</v>
      </c>
      <c r="AG13" s="8">
        <v>119.99999644066111</v>
      </c>
      <c r="AH13" s="8">
        <v>113.3333309548207</v>
      </c>
      <c r="AI13" s="8">
        <v>106.66666547572241</v>
      </c>
      <c r="AJ13" s="8">
        <f>C13</f>
        <v>100</v>
      </c>
    </row>
    <row r="14" spans="1:36" ht="15" thickTop="1" x14ac:dyDescent="0.3"/>
    <row r="15" spans="1:36" x14ac:dyDescent="0.3">
      <c r="E15" t="s">
        <v>9</v>
      </c>
      <c r="G15">
        <f t="shared" ref="G13:AJ15" si="2">G13+(($C$10*$C$5)/($C$9*$C$8))*((H13-2*G13+F13)/($C$4^2))</f>
        <v>293.33331099612423</v>
      </c>
      <c r="H15">
        <f t="shared" si="2"/>
        <v>286.6666443927748</v>
      </c>
      <c r="I15">
        <f t="shared" si="2"/>
        <v>279.99997785256312</v>
      </c>
      <c r="J15">
        <f t="shared" si="2"/>
        <v>273.33331137513079</v>
      </c>
      <c r="K15">
        <f t="shared" si="2"/>
        <v>266.66664495994132</v>
      </c>
      <c r="L15">
        <f t="shared" si="2"/>
        <v>259.99997860628196</v>
      </c>
      <c r="M15">
        <f t="shared" si="2"/>
        <v>253.3333123132654</v>
      </c>
      <c r="N15">
        <f t="shared" si="2"/>
        <v>246.66664607983253</v>
      </c>
      <c r="O15">
        <f t="shared" si="2"/>
        <v>239.99997990475524</v>
      </c>
      <c r="P15">
        <f t="shared" si="2"/>
        <v>233.33331378664016</v>
      </c>
      <c r="Q15">
        <f t="shared" si="2"/>
        <v>226.66664772393224</v>
      </c>
      <c r="R15">
        <f t="shared" si="2"/>
        <v>219.99998171491964</v>
      </c>
      <c r="S15">
        <f t="shared" si="2"/>
        <v>213.33331575773801</v>
      </c>
      <c r="T15">
        <f t="shared" si="2"/>
        <v>206.66664985037639</v>
      </c>
      <c r="U15">
        <f t="shared" si="2"/>
        <v>199.9999839906823</v>
      </c>
      <c r="V15">
        <f t="shared" si="2"/>
        <v>193.33331817636844</v>
      </c>
      <c r="W15">
        <f t="shared" si="2"/>
        <v>186.66665240501857</v>
      </c>
      <c r="X15">
        <f t="shared" si="2"/>
        <v>179.99998667409494</v>
      </c>
      <c r="Y15">
        <f t="shared" si="2"/>
        <v>173.33332098094502</v>
      </c>
      <c r="Z15">
        <f t="shared" si="2"/>
        <v>166.66665532280928</v>
      </c>
      <c r="AA15">
        <f t="shared" si="2"/>
        <v>159.99998969682895</v>
      </c>
      <c r="AB15">
        <f t="shared" si="2"/>
        <v>153.33332410005409</v>
      </c>
      <c r="AC15">
        <f t="shared" si="2"/>
        <v>146.66665852945192</v>
      </c>
      <c r="AD15">
        <f t="shared" si="2"/>
        <v>139.99999298191563</v>
      </c>
      <c r="AE15">
        <f t="shared" si="2"/>
        <v>133.33332745427279</v>
      </c>
      <c r="AF15">
        <f t="shared" si="2"/>
        <v>126.66666194329484</v>
      </c>
      <c r="AG15">
        <f t="shared" si="2"/>
        <v>119.99999644570579</v>
      </c>
      <c r="AH15">
        <f t="shared" si="2"/>
        <v>113.33333095819177</v>
      </c>
      <c r="AI15">
        <f t="shared" si="2"/>
        <v>106.66666547741035</v>
      </c>
    </row>
    <row r="16" spans="1:36" x14ac:dyDescent="0.3">
      <c r="E16" t="s">
        <v>10</v>
      </c>
      <c r="F16" s="7">
        <f>C12</f>
        <v>92000</v>
      </c>
      <c r="G16" s="7">
        <f t="shared" ref="G16:AI16" si="3">-$C$10*((G13-F13)/$C$4)</f>
        <v>92000.000000000247</v>
      </c>
      <c r="H16" s="7">
        <f t="shared" si="3"/>
        <v>91999.999124981885</v>
      </c>
      <c r="I16" s="7">
        <f t="shared" si="3"/>
        <v>91999.998252443896</v>
      </c>
      <c r="J16" s="7">
        <f t="shared" si="3"/>
        <v>91999.997384860442</v>
      </c>
      <c r="K16" s="7">
        <f t="shared" si="3"/>
        <v>91999.996524688366</v>
      </c>
      <c r="L16" s="7">
        <f t="shared" si="3"/>
        <v>91999.995674368853</v>
      </c>
      <c r="M16" s="7">
        <f t="shared" si="3"/>
        <v>91999.994836309721</v>
      </c>
      <c r="N16" s="7">
        <f t="shared" si="3"/>
        <v>91999.994012888623</v>
      </c>
      <c r="O16" s="7">
        <f t="shared" si="3"/>
        <v>91999.993206437299</v>
      </c>
      <c r="P16" s="7">
        <f t="shared" si="3"/>
        <v>91999.992419244736</v>
      </c>
      <c r="Q16" s="7">
        <f t="shared" si="3"/>
        <v>91999.991653538746</v>
      </c>
      <c r="R16" s="7">
        <f t="shared" si="3"/>
        <v>91999.990911493791</v>
      </c>
      <c r="S16" s="7">
        <f t="shared" si="3"/>
        <v>91999.990195209044</v>
      </c>
      <c r="T16" s="7">
        <f t="shared" si="3"/>
        <v>91999.989506719328</v>
      </c>
      <c r="U16" s="7">
        <f t="shared" si="3"/>
        <v>91999.988847971617</v>
      </c>
      <c r="V16" s="7">
        <f t="shared" si="3"/>
        <v>91999.988220837593</v>
      </c>
      <c r="W16" s="7">
        <f t="shared" si="3"/>
        <v>91999.987627091265</v>
      </c>
      <c r="X16" s="7">
        <f t="shared" si="3"/>
        <v>91999.987068418384</v>
      </c>
      <c r="Y16" s="7">
        <f t="shared" si="3"/>
        <v>91999.986546400789</v>
      </c>
      <c r="Z16" s="7">
        <f t="shared" si="3"/>
        <v>91999.986062519471</v>
      </c>
      <c r="AA16" s="7">
        <f t="shared" si="3"/>
        <v>91999.985618145278</v>
      </c>
      <c r="AB16" s="7">
        <f t="shared" si="3"/>
        <v>91999.985214537985</v>
      </c>
      <c r="AC16" s="7">
        <f t="shared" si="3"/>
        <v>91999.984852841313</v>
      </c>
      <c r="AD16" s="7">
        <f t="shared" si="3"/>
        <v>91999.984534081304</v>
      </c>
      <c r="AE16" s="7">
        <f t="shared" si="3"/>
        <v>91999.984259160876</v>
      </c>
      <c r="AF16" s="7">
        <f t="shared" si="3"/>
        <v>91999.984028860315</v>
      </c>
      <c r="AG16" s="7">
        <f t="shared" si="3"/>
        <v>91999.98384383072</v>
      </c>
      <c r="AH16" s="7">
        <f t="shared" si="3"/>
        <v>91999.983704597675</v>
      </c>
      <c r="AI16" s="7">
        <f t="shared" si="3"/>
        <v>91999.983611556323</v>
      </c>
      <c r="AJ16" s="7">
        <f>-$C$10*((AJ13-AI13)/$C$4)</f>
        <v>91999.983564969269</v>
      </c>
    </row>
  </sheetData>
  <conditionalFormatting sqref="F13:AJ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2021-09-14T19:57:56Z</dcterms:modified>
</cp:coreProperties>
</file>