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5B31D87F-1974-4C7A-8891-31E533FC6CC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38" i="1" l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3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X33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X37" i="1"/>
  <c r="X12" i="1"/>
  <c r="X13" i="1" s="1"/>
  <c r="AL36" i="1"/>
  <c r="X36" i="1"/>
  <c r="AL35" i="1"/>
  <c r="AK35" i="1"/>
  <c r="AJ35" i="1"/>
  <c r="AI35" i="1"/>
  <c r="AH35" i="1"/>
  <c r="AG35" i="1"/>
  <c r="X35" i="1"/>
  <c r="AL34" i="1"/>
  <c r="X34" i="1"/>
  <c r="AL33" i="1"/>
  <c r="AK33" i="1"/>
  <c r="AJ33" i="1"/>
  <c r="AI33" i="1"/>
  <c r="AH33" i="1"/>
  <c r="AG33" i="1"/>
  <c r="X7" i="1"/>
  <c r="T54" i="1"/>
  <c r="S54" i="1"/>
  <c r="R54" i="1"/>
  <c r="Q54" i="1"/>
  <c r="P54" i="1"/>
  <c r="O54" i="1"/>
  <c r="F49" i="1"/>
  <c r="J49" i="1"/>
  <c r="AB35" i="1" s="1"/>
  <c r="I49" i="1"/>
  <c r="AA35" i="1" s="1"/>
  <c r="H49" i="1"/>
  <c r="Z35" i="1" s="1"/>
  <c r="G49" i="1"/>
  <c r="Y35" i="1" s="1"/>
  <c r="S44" i="1"/>
  <c r="AK10" i="1" s="1"/>
  <c r="R44" i="1"/>
  <c r="AJ10" i="1" s="1"/>
  <c r="Q44" i="1"/>
  <c r="AI10" i="1" s="1"/>
  <c r="P44" i="1"/>
  <c r="AH10" i="1" s="1"/>
  <c r="O44" i="1"/>
  <c r="AG10" i="1" s="1"/>
  <c r="N44" i="1"/>
  <c r="AF10" i="1" s="1"/>
  <c r="M44" i="1"/>
  <c r="AE10" i="1" s="1"/>
  <c r="L44" i="1"/>
  <c r="AD10" i="1" s="1"/>
  <c r="K44" i="1"/>
  <c r="AC10" i="1" s="1"/>
  <c r="J44" i="1"/>
  <c r="AB10" i="1" s="1"/>
  <c r="I44" i="1"/>
  <c r="AA10" i="1" s="1"/>
  <c r="H44" i="1"/>
  <c r="Z10" i="1" s="1"/>
  <c r="G44" i="1"/>
  <c r="Y10" i="1" s="1"/>
  <c r="G9" i="1" l="1"/>
  <c r="S14" i="1"/>
  <c r="P14" i="1"/>
  <c r="O13" i="1"/>
  <c r="R14" i="1"/>
  <c r="Q14" i="1"/>
  <c r="Q13" i="1"/>
  <c r="P13" i="1"/>
  <c r="R12" i="1"/>
  <c r="Q12" i="1"/>
  <c r="P12" i="1"/>
  <c r="M12" i="1"/>
  <c r="R11" i="1"/>
  <c r="R10" i="1"/>
  <c r="O11" i="1"/>
  <c r="M9" i="1"/>
  <c r="P10" i="1"/>
  <c r="O10" i="1"/>
  <c r="L8" i="1"/>
  <c r="L9" i="1"/>
  <c r="R9" i="1"/>
  <c r="O7" i="1"/>
  <c r="N9" i="1"/>
  <c r="J9" i="1"/>
  <c r="R8" i="1"/>
  <c r="Q8" i="1"/>
  <c r="N8" i="1"/>
  <c r="M8" i="1"/>
  <c r="J8" i="1"/>
  <c r="I8" i="1"/>
  <c r="N7" i="1"/>
  <c r="M7" i="1"/>
  <c r="L7" i="1"/>
  <c r="J7" i="1"/>
  <c r="I7" i="1"/>
  <c r="H7" i="1"/>
  <c r="O14" i="1"/>
  <c r="R13" i="1"/>
  <c r="O12" i="1"/>
  <c r="Q10" i="1"/>
  <c r="O9" i="1"/>
  <c r="P8" i="1"/>
  <c r="O8" i="1"/>
  <c r="Q7" i="1"/>
  <c r="P7" i="1"/>
  <c r="N13" i="1"/>
  <c r="N12" i="1"/>
  <c r="N11" i="1"/>
  <c r="L11" i="1"/>
  <c r="M10" i="1"/>
  <c r="L10" i="1"/>
  <c r="K10" i="1"/>
  <c r="K9" i="1"/>
  <c r="I9" i="1"/>
  <c r="H9" i="1"/>
  <c r="H8" i="1"/>
  <c r="K7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7" i="1"/>
  <c r="E27" i="1"/>
  <c r="E26" i="1" s="1"/>
  <c r="E25" i="1" s="1"/>
  <c r="E24" i="1" s="1"/>
  <c r="E23" i="1" s="1"/>
  <c r="E22" i="1" s="1"/>
  <c r="E21" i="1" s="1"/>
  <c r="E20" i="1" s="1"/>
  <c r="E19" i="1" s="1"/>
  <c r="E18" i="1" s="1"/>
  <c r="U26" i="1"/>
  <c r="U25" i="1" s="1"/>
  <c r="U24" i="1" s="1"/>
  <c r="U23" i="1" s="1"/>
  <c r="U22" i="1" s="1"/>
  <c r="U21" i="1" s="1"/>
  <c r="U20" i="1" s="1"/>
  <c r="U19" i="1" s="1"/>
  <c r="U18" i="1" s="1"/>
  <c r="F9" i="1"/>
  <c r="F36" i="1" s="1"/>
  <c r="F62" i="1" s="1"/>
  <c r="U14" i="1"/>
  <c r="U13" i="1" s="1"/>
  <c r="U12" i="1" s="1"/>
  <c r="U11" i="1" s="1"/>
  <c r="U10" i="1" s="1"/>
  <c r="U9" i="1" s="1"/>
  <c r="U8" i="1" s="1"/>
  <c r="U7" i="1" s="1"/>
  <c r="U6" i="1" s="1"/>
  <c r="U5" i="1" s="1"/>
  <c r="G16" i="1"/>
  <c r="Y7" i="1" s="1"/>
  <c r="E14" i="1"/>
  <c r="E13" i="1" s="1"/>
  <c r="E12" i="1" s="1"/>
  <c r="E11" i="1" s="1"/>
  <c r="E10" i="1" s="1"/>
  <c r="E9" i="1" s="1"/>
  <c r="E8" i="1" s="1"/>
  <c r="E7" i="1" s="1"/>
  <c r="E6" i="1" s="1"/>
  <c r="E5" i="1" s="1"/>
  <c r="G4" i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H16" i="1" l="1"/>
  <c r="F8" i="1"/>
  <c r="B6" i="1"/>
  <c r="I47" i="1"/>
  <c r="G47" i="1"/>
  <c r="H35" i="1"/>
  <c r="N48" i="1"/>
  <c r="O46" i="1"/>
  <c r="N34" i="1"/>
  <c r="I36" i="1"/>
  <c r="J48" i="1"/>
  <c r="O52" i="1"/>
  <c r="M52" i="1"/>
  <c r="AE35" i="1" s="1"/>
  <c r="N40" i="1"/>
  <c r="AF34" i="1" s="1"/>
  <c r="R40" i="1"/>
  <c r="I35" i="1"/>
  <c r="P46" i="1"/>
  <c r="O34" i="1"/>
  <c r="R37" i="1"/>
  <c r="R53" i="1"/>
  <c r="Q41" i="1"/>
  <c r="AI34" i="1" s="1"/>
  <c r="M34" i="1"/>
  <c r="N46" i="1"/>
  <c r="M51" i="1"/>
  <c r="N39" i="1"/>
  <c r="O51" i="1"/>
  <c r="O41" i="1"/>
  <c r="AG34" i="1" s="1"/>
  <c r="N53" i="1"/>
  <c r="AF35" i="1" s="1"/>
  <c r="P53" i="1"/>
  <c r="R36" i="1"/>
  <c r="R38" i="1"/>
  <c r="R41" i="1"/>
  <c r="AJ34" i="1" s="1"/>
  <c r="Q37" i="1"/>
  <c r="N36" i="1"/>
  <c r="K36" i="1"/>
  <c r="L48" i="1"/>
  <c r="L49" i="1"/>
  <c r="K37" i="1"/>
  <c r="AC34" i="1" s="1"/>
  <c r="I46" i="1"/>
  <c r="H34" i="1"/>
  <c r="N47" i="1"/>
  <c r="M35" i="1"/>
  <c r="L36" i="1"/>
  <c r="M48" i="1"/>
  <c r="L51" i="1"/>
  <c r="AD35" i="1" s="1"/>
  <c r="M39" i="1"/>
  <c r="AE34" i="1" s="1"/>
  <c r="N51" i="1"/>
  <c r="N52" i="1"/>
  <c r="O40" i="1"/>
  <c r="P52" i="1"/>
  <c r="J36" i="1"/>
  <c r="K48" i="1"/>
  <c r="Q40" i="1"/>
  <c r="L37" i="1"/>
  <c r="K49" i="1"/>
  <c r="J46" i="1"/>
  <c r="I34" i="1"/>
  <c r="O47" i="1"/>
  <c r="M47" i="1"/>
  <c r="L35" i="1"/>
  <c r="P39" i="1"/>
  <c r="Q51" i="1"/>
  <c r="Q53" i="1"/>
  <c r="P41" i="1"/>
  <c r="AH34" i="1" s="1"/>
  <c r="O53" i="1"/>
  <c r="P40" i="1"/>
  <c r="Q52" i="1"/>
  <c r="O39" i="1"/>
  <c r="P51" i="1"/>
  <c r="J35" i="1"/>
  <c r="K47" i="1"/>
  <c r="O35" i="1"/>
  <c r="P47" i="1"/>
  <c r="M37" i="1"/>
  <c r="N49" i="1"/>
  <c r="P35" i="1"/>
  <c r="Q47" i="1"/>
  <c r="K46" i="1"/>
  <c r="J34" i="1"/>
  <c r="Q35" i="1"/>
  <c r="O37" i="1"/>
  <c r="P49" i="1"/>
  <c r="Q39" i="1"/>
  <c r="S41" i="1"/>
  <c r="AK34" i="1" s="1"/>
  <c r="N38" i="1"/>
  <c r="I48" i="1"/>
  <c r="G48" i="1"/>
  <c r="H36" i="1"/>
  <c r="O38" i="1"/>
  <c r="L46" i="1"/>
  <c r="K34" i="1"/>
  <c r="K50" i="1"/>
  <c r="AC35" i="1" s="1"/>
  <c r="L38" i="1"/>
  <c r="AD34" i="1" s="1"/>
  <c r="M50" i="1"/>
  <c r="O36" i="1"/>
  <c r="L34" i="1"/>
  <c r="M46" i="1"/>
  <c r="R35" i="1"/>
  <c r="Q49" i="1"/>
  <c r="P37" i="1"/>
  <c r="R39" i="1"/>
  <c r="G36" i="1"/>
  <c r="H48" i="1"/>
  <c r="F48" i="1"/>
  <c r="R7" i="1"/>
  <c r="Q46" i="1" s="1"/>
  <c r="P9" i="1"/>
  <c r="O48" i="1" s="1"/>
  <c r="N10" i="1"/>
  <c r="Q9" i="1"/>
  <c r="Q34" i="1" s="1"/>
  <c r="P11" i="1"/>
  <c r="K8" i="1"/>
  <c r="J47" i="1" s="1"/>
  <c r="M11" i="1"/>
  <c r="Q11" i="1"/>
  <c r="T14" i="1"/>
  <c r="O61" i="1" l="1"/>
  <c r="G62" i="1"/>
  <c r="Y36" i="1" s="1"/>
  <c r="Y37" i="1" s="1"/>
  <c r="Y34" i="1"/>
  <c r="J62" i="1"/>
  <c r="AB36" i="1" s="1"/>
  <c r="AB34" i="1"/>
  <c r="I62" i="1"/>
  <c r="AA36" i="1" s="1"/>
  <c r="AA34" i="1"/>
  <c r="H62" i="1"/>
  <c r="Z36" i="1" s="1"/>
  <c r="Z34" i="1"/>
  <c r="N35" i="1"/>
  <c r="N61" i="1" s="1"/>
  <c r="T13" i="1"/>
  <c r="T41" i="1"/>
  <c r="P67" i="1"/>
  <c r="AH36" i="1" s="1"/>
  <c r="P50" i="1"/>
  <c r="P63" i="1" s="1"/>
  <c r="Q67" i="1"/>
  <c r="AI36" i="1" s="1"/>
  <c r="S67" i="1"/>
  <c r="AK36" i="1" s="1"/>
  <c r="T53" i="1"/>
  <c r="O50" i="1"/>
  <c r="O63" i="1" s="1"/>
  <c r="R67" i="1"/>
  <c r="AJ36" i="1" s="1"/>
  <c r="O67" i="1"/>
  <c r="AG36" i="1" s="1"/>
  <c r="S53" i="1"/>
  <c r="F7" i="1"/>
  <c r="F35" i="1"/>
  <c r="F61" i="1" s="1"/>
  <c r="I16" i="1"/>
  <c r="Z7" i="1"/>
  <c r="O65" i="1"/>
  <c r="M65" i="1"/>
  <c r="AE36" i="1" s="1"/>
  <c r="L62" i="1"/>
  <c r="P66" i="1"/>
  <c r="N60" i="1"/>
  <c r="L61" i="1"/>
  <c r="N66" i="1"/>
  <c r="AF36" i="1" s="1"/>
  <c r="L64" i="1"/>
  <c r="AD36" i="1" s="1"/>
  <c r="O64" i="1"/>
  <c r="N64" i="1"/>
  <c r="K60" i="1"/>
  <c r="O66" i="1"/>
  <c r="P65" i="1"/>
  <c r="M49" i="1"/>
  <c r="M61" i="1"/>
  <c r="L50" i="1"/>
  <c r="L63" i="1" s="1"/>
  <c r="M38" i="1"/>
  <c r="M64" i="1" s="1"/>
  <c r="N50" i="1"/>
  <c r="L47" i="1"/>
  <c r="L60" i="1" s="1"/>
  <c r="K35" i="1"/>
  <c r="K61" i="1" s="1"/>
  <c r="R66" i="1"/>
  <c r="J60" i="1"/>
  <c r="I60" i="1"/>
  <c r="N65" i="1"/>
  <c r="M36" i="1"/>
  <c r="R34" i="1"/>
  <c r="I61" i="1"/>
  <c r="M63" i="1"/>
  <c r="K63" i="1"/>
  <c r="AC36" i="1" s="1"/>
  <c r="K62" i="1"/>
  <c r="O60" i="1"/>
  <c r="Q38" i="1"/>
  <c r="Q64" i="1" s="1"/>
  <c r="P34" i="1"/>
  <c r="P60" i="1" s="1"/>
  <c r="Q50" i="1"/>
  <c r="Q63" i="1" s="1"/>
  <c r="P38" i="1"/>
  <c r="P64" i="1" s="1"/>
  <c r="Q36" i="1"/>
  <c r="Q62" i="1" s="1"/>
  <c r="O49" i="1"/>
  <c r="O62" i="1" s="1"/>
  <c r="N37" i="1"/>
  <c r="P48" i="1"/>
  <c r="P61" i="1" s="1"/>
  <c r="Q65" i="1"/>
  <c r="J61" i="1"/>
  <c r="Q66" i="1"/>
  <c r="N62" i="1"/>
  <c r="H61" i="1"/>
  <c r="Q60" i="1"/>
  <c r="Q48" i="1"/>
  <c r="Q61" i="1" s="1"/>
  <c r="P36" i="1"/>
  <c r="P62" i="1" s="1"/>
  <c r="M60" i="1"/>
  <c r="G8" i="1"/>
  <c r="S13" i="1"/>
  <c r="Z37" i="1" l="1"/>
  <c r="F6" i="1"/>
  <c r="F34" i="1"/>
  <c r="G46" i="1"/>
  <c r="T66" i="1"/>
  <c r="J16" i="1"/>
  <c r="AA7" i="1"/>
  <c r="T67" i="1"/>
  <c r="T12" i="1"/>
  <c r="T40" i="1"/>
  <c r="S52" i="1"/>
  <c r="M62" i="1"/>
  <c r="N63" i="1"/>
  <c r="T52" i="1"/>
  <c r="S40" i="1"/>
  <c r="S66" i="1" s="1"/>
  <c r="R52" i="1"/>
  <c r="R65" i="1" s="1"/>
  <c r="G35" i="1"/>
  <c r="G61" i="1" s="1"/>
  <c r="F47" i="1"/>
  <c r="F60" i="1" s="1"/>
  <c r="H47" i="1"/>
  <c r="H60" i="1" s="1"/>
  <c r="G7" i="1"/>
  <c r="S12" i="1"/>
  <c r="AA37" i="1" l="1"/>
  <c r="K16" i="1"/>
  <c r="AB7" i="1"/>
  <c r="T11" i="1"/>
  <c r="T39" i="1"/>
  <c r="T65" i="1" s="1"/>
  <c r="S51" i="1"/>
  <c r="F5" i="1"/>
  <c r="F33" i="1"/>
  <c r="S39" i="1"/>
  <c r="S65" i="1" s="1"/>
  <c r="T51" i="1"/>
  <c r="R51" i="1"/>
  <c r="R64" i="1" s="1"/>
  <c r="G34" i="1"/>
  <c r="G60" i="1" s="1"/>
  <c r="H46" i="1"/>
  <c r="F46" i="1"/>
  <c r="G6" i="1"/>
  <c r="S11" i="1"/>
  <c r="AB37" i="1" l="1"/>
  <c r="T10" i="1"/>
  <c r="T38" i="1"/>
  <c r="T64" i="1" s="1"/>
  <c r="S50" i="1"/>
  <c r="G5" i="1"/>
  <c r="G31" i="1" s="1"/>
  <c r="Y9" i="1" s="1"/>
  <c r="X6" i="1"/>
  <c r="F32" i="1"/>
  <c r="F31" i="1"/>
  <c r="F59" i="1"/>
  <c r="L16" i="1"/>
  <c r="AC7" i="1"/>
  <c r="G33" i="1"/>
  <c r="G59" i="1" s="1"/>
  <c r="F45" i="1"/>
  <c r="S38" i="1"/>
  <c r="S64" i="1" s="1"/>
  <c r="T50" i="1"/>
  <c r="R50" i="1"/>
  <c r="R63" i="1" s="1"/>
  <c r="H6" i="1"/>
  <c r="S10" i="1"/>
  <c r="AC37" i="1" l="1"/>
  <c r="G57" i="1"/>
  <c r="Y11" i="1" s="1"/>
  <c r="Y6" i="1"/>
  <c r="H5" i="1"/>
  <c r="G32" i="1"/>
  <c r="F44" i="1"/>
  <c r="X10" i="1" s="1"/>
  <c r="T63" i="1"/>
  <c r="F58" i="1"/>
  <c r="X9" i="1"/>
  <c r="T9" i="1"/>
  <c r="T37" i="1"/>
  <c r="S49" i="1"/>
  <c r="M16" i="1"/>
  <c r="AD7" i="1"/>
  <c r="S37" i="1"/>
  <c r="S63" i="1" s="1"/>
  <c r="T49" i="1"/>
  <c r="R49" i="1"/>
  <c r="R62" i="1" s="1"/>
  <c r="H33" i="1"/>
  <c r="H59" i="1" s="1"/>
  <c r="G45" i="1"/>
  <c r="H31" i="1"/>
  <c r="I6" i="1"/>
  <c r="S9" i="1"/>
  <c r="G58" i="1" l="1"/>
  <c r="AD37" i="1"/>
  <c r="I5" i="1"/>
  <c r="Z6" i="1"/>
  <c r="H32" i="1"/>
  <c r="N16" i="1"/>
  <c r="AE7" i="1"/>
  <c r="H57" i="1"/>
  <c r="Z11" i="1" s="1"/>
  <c r="Z9" i="1"/>
  <c r="T8" i="1"/>
  <c r="T36" i="1"/>
  <c r="S48" i="1"/>
  <c r="T62" i="1"/>
  <c r="F57" i="1"/>
  <c r="X11" i="1" s="1"/>
  <c r="Y12" i="1" s="1"/>
  <c r="I33" i="1"/>
  <c r="I59" i="1" s="1"/>
  <c r="H45" i="1"/>
  <c r="S36" i="1"/>
  <c r="S62" i="1" s="1"/>
  <c r="T48" i="1"/>
  <c r="R48" i="1"/>
  <c r="R61" i="1" s="1"/>
  <c r="I31" i="1"/>
  <c r="J6" i="1"/>
  <c r="S8" i="1"/>
  <c r="AE37" i="1" l="1"/>
  <c r="Z12" i="1"/>
  <c r="O16" i="1"/>
  <c r="AF7" i="1"/>
  <c r="I57" i="1"/>
  <c r="AA11" i="1" s="1"/>
  <c r="AA9" i="1"/>
  <c r="T61" i="1"/>
  <c r="H58" i="1"/>
  <c r="T7" i="1"/>
  <c r="T35" i="1"/>
  <c r="S47" i="1"/>
  <c r="J5" i="1"/>
  <c r="AA6" i="1"/>
  <c r="I32" i="1"/>
  <c r="T47" i="1"/>
  <c r="S35" i="1"/>
  <c r="S61" i="1" s="1"/>
  <c r="R47" i="1"/>
  <c r="R60" i="1" s="1"/>
  <c r="J33" i="1"/>
  <c r="J59" i="1" s="1"/>
  <c r="I45" i="1"/>
  <c r="J31" i="1"/>
  <c r="K6" i="1"/>
  <c r="S7" i="1"/>
  <c r="AF37" i="1" l="1"/>
  <c r="I58" i="1"/>
  <c r="P16" i="1"/>
  <c r="AG7" i="1"/>
  <c r="J57" i="1"/>
  <c r="AB11" i="1" s="1"/>
  <c r="AB9" i="1"/>
  <c r="T60" i="1"/>
  <c r="K5" i="1"/>
  <c r="K31" i="1" s="1"/>
  <c r="AB6" i="1"/>
  <c r="J32" i="1"/>
  <c r="T6" i="1"/>
  <c r="T33" i="1" s="1"/>
  <c r="T34" i="1"/>
  <c r="S46" i="1"/>
  <c r="AA12" i="1"/>
  <c r="T46" i="1"/>
  <c r="S34" i="1"/>
  <c r="S60" i="1" s="1"/>
  <c r="R46" i="1"/>
  <c r="K33" i="1"/>
  <c r="K59" i="1" s="1"/>
  <c r="J45" i="1"/>
  <c r="L6" i="1"/>
  <c r="J58" i="1" l="1"/>
  <c r="AG37" i="1"/>
  <c r="L5" i="1"/>
  <c r="AC6" i="1"/>
  <c r="K32" i="1"/>
  <c r="AB12" i="1"/>
  <c r="K57" i="1"/>
  <c r="AC11" i="1" s="1"/>
  <c r="AC9" i="1"/>
  <c r="T59" i="1"/>
  <c r="Q16" i="1"/>
  <c r="AH7" i="1"/>
  <c r="L33" i="1"/>
  <c r="L59" i="1" s="1"/>
  <c r="K45" i="1"/>
  <c r="L31" i="1"/>
  <c r="M6" i="1"/>
  <c r="K58" i="1" l="1"/>
  <c r="AH37" i="1"/>
  <c r="AC12" i="1"/>
  <c r="R16" i="1"/>
  <c r="AI7" i="1"/>
  <c r="L57" i="1"/>
  <c r="AD11" i="1" s="1"/>
  <c r="AD9" i="1"/>
  <c r="M5" i="1"/>
  <c r="AD6" i="1"/>
  <c r="L32" i="1"/>
  <c r="M33" i="1"/>
  <c r="M59" i="1" s="1"/>
  <c r="L45" i="1"/>
  <c r="M31" i="1"/>
  <c r="N6" i="1"/>
  <c r="L58" i="1" l="1"/>
  <c r="AI37" i="1"/>
  <c r="N5" i="1"/>
  <c r="AE6" i="1"/>
  <c r="M32" i="1"/>
  <c r="M57" i="1"/>
  <c r="AE11" i="1" s="1"/>
  <c r="AE9" i="1"/>
  <c r="S16" i="1"/>
  <c r="AJ7" i="1"/>
  <c r="AD12" i="1"/>
  <c r="N33" i="1"/>
  <c r="N59" i="1" s="1"/>
  <c r="M45" i="1"/>
  <c r="N31" i="1"/>
  <c r="O6" i="1"/>
  <c r="M58" i="1" l="1"/>
  <c r="AJ37" i="1"/>
  <c r="T16" i="1"/>
  <c r="AL7" i="1" s="1"/>
  <c r="AK7" i="1"/>
  <c r="N57" i="1"/>
  <c r="AF11" i="1" s="1"/>
  <c r="AF9" i="1"/>
  <c r="AE12" i="1"/>
  <c r="O5" i="1"/>
  <c r="AF6" i="1"/>
  <c r="N32" i="1"/>
  <c r="O33" i="1"/>
  <c r="O59" i="1" s="1"/>
  <c r="N45" i="1"/>
  <c r="P6" i="1"/>
  <c r="N58" i="1" l="1"/>
  <c r="AK37" i="1"/>
  <c r="P5" i="1"/>
  <c r="AG6" i="1"/>
  <c r="O32" i="1"/>
  <c r="O31" i="1"/>
  <c r="AF12" i="1"/>
  <c r="P33" i="1"/>
  <c r="P59" i="1" s="1"/>
  <c r="O45" i="1"/>
  <c r="P31" i="1"/>
  <c r="Q6" i="1"/>
  <c r="AL37" i="1" l="1"/>
  <c r="O57" i="1"/>
  <c r="AG11" i="1" s="1"/>
  <c r="AG12" i="1" s="1"/>
  <c r="AG9" i="1"/>
  <c r="P57" i="1"/>
  <c r="AH11" i="1" s="1"/>
  <c r="AH9" i="1"/>
  <c r="O58" i="1"/>
  <c r="Q5" i="1"/>
  <c r="Q31" i="1" s="1"/>
  <c r="AH6" i="1"/>
  <c r="P32" i="1"/>
  <c r="Q33" i="1"/>
  <c r="Q59" i="1" s="1"/>
  <c r="P45" i="1"/>
  <c r="R6" i="1"/>
  <c r="P58" i="1" l="1"/>
  <c r="Q57" i="1"/>
  <c r="AI11" i="1" s="1"/>
  <c r="AI9" i="1"/>
  <c r="AH12" i="1"/>
  <c r="R5" i="1"/>
  <c r="R31" i="1" s="1"/>
  <c r="AI6" i="1"/>
  <c r="Q32" i="1"/>
  <c r="S45" i="1"/>
  <c r="R33" i="1"/>
  <c r="R59" i="1" s="1"/>
  <c r="Q45" i="1"/>
  <c r="S6" i="1"/>
  <c r="Q58" i="1" l="1"/>
  <c r="R57" i="1"/>
  <c r="AJ11" i="1" s="1"/>
  <c r="AJ9" i="1"/>
  <c r="S5" i="1"/>
  <c r="AJ6" i="1"/>
  <c r="R32" i="1"/>
  <c r="AI12" i="1"/>
  <c r="T45" i="1"/>
  <c r="S33" i="1"/>
  <c r="S59" i="1" s="1"/>
  <c r="R45" i="1"/>
  <c r="S31" i="1"/>
  <c r="R58" i="1" l="1"/>
  <c r="AJ12" i="1"/>
  <c r="T5" i="1"/>
  <c r="AK6" i="1"/>
  <c r="S32" i="1"/>
  <c r="S58" i="1" s="1"/>
  <c r="S57" i="1"/>
  <c r="AK11" i="1" s="1"/>
  <c r="AK9" i="1"/>
  <c r="T44" i="1" l="1"/>
  <c r="AL10" i="1" s="1"/>
  <c r="T31" i="1"/>
  <c r="T32" i="1"/>
  <c r="T58" i="1" s="1"/>
  <c r="AL6" i="1"/>
  <c r="AK12" i="1"/>
  <c r="AL9" i="1" l="1"/>
  <c r="T57" i="1"/>
  <c r="AL11" i="1" s="1"/>
  <c r="AL12" i="1" s="1"/>
</calcChain>
</file>

<file path=xl/sharedStrings.xml><?xml version="1.0" encoding="utf-8"?>
<sst xmlns="http://schemas.openxmlformats.org/spreadsheetml/2006/main" count="31" uniqueCount="20">
  <si>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</si>
  <si>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</si>
  <si>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</si>
  <si>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</si>
  <si>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</si>
  <si>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</si>
  <si>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</si>
  <si>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</si>
  <si>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</si>
  <si>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</si>
  <si>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</si>
  <si>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</si>
  <si>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Magn(Velocity)</t>
  </si>
  <si>
    <t>x</t>
  </si>
  <si>
    <t>y</t>
  </si>
  <si>
    <t>Vel</t>
  </si>
  <si>
    <t>p</t>
  </si>
  <si>
    <t>Cp</t>
  </si>
  <si>
    <t>Верхняя</t>
  </si>
  <si>
    <t>Нижняя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</si>
</sst>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2" fontId="0" fillId="0" borderId="3" xfId="0" applyNumberFormat="1" applyBorder="1" applyAlignment="1">
      <alignment horizontal="right" vertical="center"/>
    </xf>
    <xf numFmtId="2" fontId="0" fillId="0" borderId="4" xfId="0" applyNumberFormat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164" fontId="0" fillId="0" borderId="6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2" fontId="0" fillId="0" borderId="8" xfId="0" applyNumberFormat="1" applyBorder="1" applyAlignment="1">
      <alignment horizontal="right" vertical="center"/>
    </xf>
    <xf numFmtId="0" fontId="0" fillId="5" borderId="0" xfId="0" applyFill="1"/>
    <xf numFmtId="0" fontId="0" fillId="5" borderId="2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0" xfId="0" applyFill="1"/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71E971"/>
      <color rgb="FF00DA00"/>
      <color rgb="FFF53939"/>
      <color rgb="FF4FFF4F"/>
      <color rgb="FF00FF00"/>
      <color rgb="FF93FF93"/>
      <color rgb="FFFFEB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Надеюсь не требуется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</c:v>
          </c:tx>
          <c:spPr>
            <a:ln w="444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Лист1!$X$7:$AL$7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Лист1!$X$8:$AL$8</c:f>
              <c:numCache>
                <c:formatCode>0.0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6D-4F2D-92EA-49A89CBBD245}"/>
            </c:ext>
          </c:extLst>
        </c:ser>
        <c:ser>
          <c:idx val="1"/>
          <c:order val="1"/>
          <c:tx>
            <c:v>b</c:v>
          </c:tx>
          <c:spPr>
            <a:ln w="444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Лист1!$X$32:$AL$32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Лист1!$X$33:$AL$33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 formatCode="General">
                  <c:v>0.8</c:v>
                </c:pt>
                <c:pt idx="6" formatCode="General">
                  <c:v>0.6</c:v>
                </c:pt>
                <c:pt idx="7" formatCode="General">
                  <c:v>0.4</c:v>
                </c:pt>
                <c:pt idx="8" formatCode="General">
                  <c:v>0.2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6D-4F2D-92EA-49A89CBBD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802607"/>
        <c:axId val="1985804687"/>
      </c:scatterChart>
      <c:valAx>
        <c:axId val="1985802607"/>
        <c:scaling>
          <c:orientation val="minMax"/>
          <c:max val="2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4687"/>
        <c:crosses val="autoZero"/>
        <c:crossBetween val="midCat"/>
      </c:valAx>
      <c:valAx>
        <c:axId val="1985804687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2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Лист1!$W$5</c:f>
              <c:strCache>
                <c:ptCount val="1"/>
                <c:pt idx="0">
                  <c:v>Верхняя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Лист1!$X$7:$AL$7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2.8143790411995724E-2</c:v>
                </c:pt>
                <c:pt idx="2">
                  <c:v>6.3816183311282651E-2</c:v>
                </c:pt>
                <c:pt idx="3">
                  <c:v>0.11458769048709655</c:v>
                </c:pt>
                <c:pt idx="4">
                  <c:v>0.18568973066780017</c:v>
                </c:pt>
                <c:pt idx="5">
                  <c:v>0.27485147035389673</c:v>
                </c:pt>
                <c:pt idx="6">
                  <c:v>0.36820606542984025</c:v>
                </c:pt>
                <c:pt idx="7">
                  <c:v>0.45398914727935336</c:v>
                </c:pt>
                <c:pt idx="8">
                  <c:v>0.52678677880991021</c:v>
                </c:pt>
                <c:pt idx="9">
                  <c:v>0.5859118388206116</c:v>
                </c:pt>
                <c:pt idx="10">
                  <c:v>0.63302379823464439</c:v>
                </c:pt>
                <c:pt idx="11">
                  <c:v>0.67058625851524989</c:v>
                </c:pt>
                <c:pt idx="12">
                  <c:v>0.70112116552016235</c:v>
                </c:pt>
                <c:pt idx="13">
                  <c:v>0.72692518757830837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7-4904-8657-05C895701B8F}"/>
            </c:ext>
          </c:extLst>
        </c:ser>
        <c:ser>
          <c:idx val="1"/>
          <c:order val="1"/>
          <c:tx>
            <c:strRef>
              <c:f>Лист1!$W$30</c:f>
              <c:strCache>
                <c:ptCount val="1"/>
                <c:pt idx="0">
                  <c:v>Нижняя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softEdge rad="0"/>
              </a:effectLst>
            </c:spPr>
          </c:marker>
          <c:xVal>
            <c:numRef>
              <c:f>Лист1!$X$32:$AL$32</c:f>
              <c:numCache>
                <c:formatCode>0.0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Лист1!$X$38:$AL$38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-0.59334649752010593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7-4904-8657-05C895701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802607"/>
        <c:axId val="1985804687"/>
      </c:scatterChart>
      <c:valAx>
        <c:axId val="1985802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4687"/>
        <c:crosses val="autoZero"/>
        <c:crossBetween val="midCat"/>
      </c:valAx>
      <c:valAx>
        <c:axId val="198580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802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160085</xdr:colOff>
      <xdr:row>13</xdr:row>
      <xdr:rowOff>160019</xdr:rowOff>
    </xdr:from>
    <xdr:to>
      <xdr:col>27</xdr:col>
      <xdr:colOff>396241</xdr:colOff>
      <xdr:row>28</xdr:row>
      <xdr:rowOff>74280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EE47F9B-EC34-47B8-8992-3DB10EB5D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55709</xdr:colOff>
      <xdr:row>13</xdr:row>
      <xdr:rowOff>123585</xdr:rowOff>
    </xdr:from>
    <xdr:to>
      <xdr:col>34</xdr:col>
      <xdr:colOff>0</xdr:colOff>
      <xdr:row>29</xdr:row>
      <xdr:rowOff>87727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FA459BD-F0F3-44B8-8B09-5149A1740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68"/>
  <sheetViews>
    <sheetView tabSelected="1" topLeftCell="S1" zoomScaleNormal="100" workbookViewId="0">
      <selection activeCell="AF4" sqref="AF4"/>
    </sheetView>
  </sheetViews>
  <sheetFormatPr defaultRowHeight="14.4" x14ac:dyDescent="0.3"/>
  <cols>
    <col min="5" max="5" width="3.6640625" customWidth="1"/>
    <col min="6" max="20" width="5.44140625" customWidth="1"/>
    <col min="21" max="21" width="4.21875" customWidth="1"/>
    <col min="23" max="38" width="11.109375" customWidth="1"/>
  </cols>
  <sheetData>
    <row r="2" spans="1:38" x14ac:dyDescent="0.3">
      <c r="A2" s="1" t="s">
        <v>0</v>
      </c>
      <c r="B2" s="1">
        <v>0.2</v>
      </c>
    </row>
    <row r="4" spans="1:38" x14ac:dyDescent="0.3">
      <c r="A4" s="1" t="s">
        <v>1</v>
      </c>
      <c r="B4" s="1">
        <v>10</v>
      </c>
      <c r="E4" s="5"/>
      <c r="F4" s="4">
        <v>1</v>
      </c>
      <c r="G4" s="4">
        <f>F4+1</f>
        <v>2</v>
      </c>
      <c r="H4" s="4">
        <f t="shared" ref="H4:T4" si="0">G4+1</f>
        <v>3</v>
      </c>
      <c r="I4" s="4">
        <f t="shared" si="0"/>
        <v>4</v>
      </c>
      <c r="J4" s="4">
        <f t="shared" si="0"/>
        <v>5</v>
      </c>
      <c r="K4" s="4">
        <f t="shared" si="0"/>
        <v>6</v>
      </c>
      <c r="L4" s="4">
        <f t="shared" si="0"/>
        <v>7</v>
      </c>
      <c r="M4" s="4">
        <f t="shared" si="0"/>
        <v>8</v>
      </c>
      <c r="N4" s="4">
        <f t="shared" si="0"/>
        <v>9</v>
      </c>
      <c r="O4" s="4">
        <f t="shared" si="0"/>
        <v>10</v>
      </c>
      <c r="P4" s="4">
        <f t="shared" si="0"/>
        <v>11</v>
      </c>
      <c r="Q4" s="4">
        <f t="shared" si="0"/>
        <v>12</v>
      </c>
      <c r="R4" s="4">
        <f t="shared" si="0"/>
        <v>13</v>
      </c>
      <c r="S4" s="4">
        <f t="shared" si="0"/>
        <v>14</v>
      </c>
      <c r="T4" s="4">
        <f t="shared" si="0"/>
        <v>15</v>
      </c>
      <c r="U4" s="5"/>
    </row>
    <row r="5" spans="1:38" ht="15" thickBot="1" x14ac:dyDescent="0.35">
      <c r="A5" s="1" t="s">
        <v>2</v>
      </c>
      <c r="B5" s="1">
        <v>101325</v>
      </c>
      <c r="D5" s="10" t="s">
        <v>9</v>
      </c>
      <c r="E5" s="6">
        <f t="shared" ref="E5:E12" si="1">E6+$B$2</f>
        <v>1.9999999999999998</v>
      </c>
      <c r="F5" s="7">
        <f t="shared" ref="F5:F8" si="2">F6+$B$4*$B$2</f>
        <v>10</v>
      </c>
      <c r="G5" s="7">
        <f>F5</f>
        <v>10</v>
      </c>
      <c r="H5" s="7">
        <f t="shared" ref="H5:T5" si="3">G5</f>
        <v>10</v>
      </c>
      <c r="I5" s="7">
        <f t="shared" si="3"/>
        <v>10</v>
      </c>
      <c r="J5" s="7">
        <f t="shared" si="3"/>
        <v>10</v>
      </c>
      <c r="K5" s="7">
        <f t="shared" si="3"/>
        <v>10</v>
      </c>
      <c r="L5" s="7">
        <f t="shared" si="3"/>
        <v>10</v>
      </c>
      <c r="M5" s="7">
        <f t="shared" si="3"/>
        <v>10</v>
      </c>
      <c r="N5" s="7">
        <f t="shared" si="3"/>
        <v>10</v>
      </c>
      <c r="O5" s="7">
        <f t="shared" si="3"/>
        <v>10</v>
      </c>
      <c r="P5" s="7">
        <f t="shared" si="3"/>
        <v>10</v>
      </c>
      <c r="Q5" s="7">
        <f t="shared" si="3"/>
        <v>10</v>
      </c>
      <c r="R5" s="7">
        <f t="shared" si="3"/>
        <v>10</v>
      </c>
      <c r="S5" s="7">
        <f t="shared" si="3"/>
        <v>10</v>
      </c>
      <c r="T5" s="7">
        <f t="shared" si="3"/>
        <v>10</v>
      </c>
      <c r="U5" s="4">
        <f>U6+1</f>
        <v>11</v>
      </c>
      <c r="W5" s="29" t="s">
        <v>18</v>
      </c>
    </row>
    <row r="6" spans="1:38" x14ac:dyDescent="0.3">
      <c r="A6" s="1" t="s">
        <v>3</v>
      </c>
      <c r="B6" s="1">
        <f>((E5-E10)*B4)/(E5-E15)</f>
        <v>5</v>
      </c>
      <c r="E6" s="6">
        <f t="shared" si="1"/>
        <v>1.7999999999999998</v>
      </c>
      <c r="F6" s="7">
        <f t="shared" si="2"/>
        <v>8</v>
      </c>
      <c r="G6" s="12">
        <f>(G18+H19+G20+F19)/4</f>
        <v>8.0283446451390201</v>
      </c>
      <c r="H6" s="12">
        <f t="shared" ref="H6:S6" si="4">(H18+I19+H20+G19)/4</f>
        <v>8.0648681526173505</v>
      </c>
      <c r="I6" s="12">
        <f t="shared" si="4"/>
        <v>8.1180729987453777</v>
      </c>
      <c r="J6" s="12">
        <f t="shared" si="4"/>
        <v>8.195217166158649</v>
      </c>
      <c r="K6" s="12">
        <f t="shared" si="4"/>
        <v>8.2968869331178503</v>
      </c>
      <c r="L6" s="12">
        <f t="shared" si="4"/>
        <v>8.4102906749091311</v>
      </c>
      <c r="M6" s="12">
        <f t="shared" si="4"/>
        <v>8.5221490566086295</v>
      </c>
      <c r="N6" s="12">
        <f t="shared" si="4"/>
        <v>8.6241900986107414</v>
      </c>
      <c r="O6" s="12">
        <f t="shared" si="4"/>
        <v>8.7130063540493303</v>
      </c>
      <c r="P6" s="12">
        <f t="shared" si="4"/>
        <v>8.7884287858070635</v>
      </c>
      <c r="Q6" s="12">
        <f t="shared" si="4"/>
        <v>8.8521084694366348</v>
      </c>
      <c r="R6" s="12">
        <f t="shared" si="4"/>
        <v>8.9066037598749812</v>
      </c>
      <c r="S6" s="12">
        <f t="shared" si="4"/>
        <v>8.9548687882918756</v>
      </c>
      <c r="T6" s="7">
        <f t="shared" ref="T6:T13" si="5">T7+$B$6*$B$2</f>
        <v>9</v>
      </c>
      <c r="U6" s="4">
        <f t="shared" ref="U6:U13" si="6">U7+1</f>
        <v>10</v>
      </c>
      <c r="W6" s="30"/>
      <c r="X6" s="14">
        <f>F5</f>
        <v>10</v>
      </c>
      <c r="Y6" s="14">
        <f t="shared" ref="Y6:AL6" si="7">G5</f>
        <v>10</v>
      </c>
      <c r="Z6" s="14">
        <f t="shared" si="7"/>
        <v>10</v>
      </c>
      <c r="AA6" s="14">
        <f t="shared" si="7"/>
        <v>10</v>
      </c>
      <c r="AB6" s="14">
        <f t="shared" si="7"/>
        <v>10</v>
      </c>
      <c r="AC6" s="14">
        <f t="shared" si="7"/>
        <v>10</v>
      </c>
      <c r="AD6" s="14">
        <f t="shared" si="7"/>
        <v>10</v>
      </c>
      <c r="AE6" s="14">
        <f t="shared" si="7"/>
        <v>10</v>
      </c>
      <c r="AF6" s="14">
        <f t="shared" si="7"/>
        <v>10</v>
      </c>
      <c r="AG6" s="14">
        <f t="shared" si="7"/>
        <v>10</v>
      </c>
      <c r="AH6" s="14">
        <f t="shared" si="7"/>
        <v>10</v>
      </c>
      <c r="AI6" s="14">
        <f t="shared" si="7"/>
        <v>10</v>
      </c>
      <c r="AJ6" s="14">
        <f t="shared" si="7"/>
        <v>10</v>
      </c>
      <c r="AK6" s="14">
        <f t="shared" si="7"/>
        <v>10</v>
      </c>
      <c r="AL6" s="15">
        <f t="shared" si="7"/>
        <v>10</v>
      </c>
    </row>
    <row r="7" spans="1:38" x14ac:dyDescent="0.3">
      <c r="E7" s="6">
        <f t="shared" si="1"/>
        <v>1.5999999999999999</v>
      </c>
      <c r="F7" s="7">
        <f t="shared" si="2"/>
        <v>6</v>
      </c>
      <c r="G7" s="12">
        <f t="shared" ref="G7:S7" si="8">(G19+H20+G21+F20)/4</f>
        <v>6.0485104297694843</v>
      </c>
      <c r="H7" s="12">
        <f t="shared" si="8"/>
        <v>6.1130549706282409</v>
      </c>
      <c r="I7" s="12">
        <f t="shared" si="8"/>
        <v>6.2122066826259434</v>
      </c>
      <c r="J7" s="12">
        <f t="shared" si="8"/>
        <v>6.3659087426749377</v>
      </c>
      <c r="K7" s="12">
        <f t="shared" si="8"/>
        <v>6.5820399046363756</v>
      </c>
      <c r="L7" s="12">
        <f t="shared" si="8"/>
        <v>6.8221267276369435</v>
      </c>
      <c r="M7" s="12">
        <f t="shared" si="8"/>
        <v>7.0541154734311275</v>
      </c>
      <c r="N7" s="12">
        <f t="shared" si="8"/>
        <v>7.2616050075080159</v>
      </c>
      <c r="O7" s="12">
        <f t="shared" si="8"/>
        <v>7.439406555378091</v>
      </c>
      <c r="P7" s="12">
        <f t="shared" si="8"/>
        <v>7.5886003429309392</v>
      </c>
      <c r="Q7" s="12">
        <f t="shared" si="8"/>
        <v>7.7134013511164916</v>
      </c>
      <c r="R7" s="12">
        <f t="shared" si="8"/>
        <v>7.8194377961790948</v>
      </c>
      <c r="S7" s="12">
        <f t="shared" si="8"/>
        <v>7.9128714006144643</v>
      </c>
      <c r="T7" s="7">
        <f t="shared" si="5"/>
        <v>8</v>
      </c>
      <c r="U7" s="4">
        <f t="shared" si="6"/>
        <v>9</v>
      </c>
      <c r="W7" s="31" t="s">
        <v>13</v>
      </c>
      <c r="X7" s="16">
        <f>F16</f>
        <v>0</v>
      </c>
      <c r="Y7" s="16">
        <f t="shared" ref="Y7:AL7" si="9">G16</f>
        <v>0.2</v>
      </c>
      <c r="Z7" s="16">
        <f t="shared" si="9"/>
        <v>0.4</v>
      </c>
      <c r="AA7" s="16">
        <f t="shared" si="9"/>
        <v>0.60000000000000009</v>
      </c>
      <c r="AB7" s="16">
        <f t="shared" si="9"/>
        <v>0.8</v>
      </c>
      <c r="AC7" s="16">
        <f t="shared" si="9"/>
        <v>1</v>
      </c>
      <c r="AD7" s="16">
        <f t="shared" si="9"/>
        <v>1.2</v>
      </c>
      <c r="AE7" s="16">
        <f t="shared" si="9"/>
        <v>1.4</v>
      </c>
      <c r="AF7" s="16">
        <f t="shared" si="9"/>
        <v>1.5999999999999999</v>
      </c>
      <c r="AG7" s="16">
        <f t="shared" si="9"/>
        <v>1.7999999999999998</v>
      </c>
      <c r="AH7" s="16">
        <f t="shared" si="9"/>
        <v>1.9999999999999998</v>
      </c>
      <c r="AI7" s="16">
        <f t="shared" si="9"/>
        <v>2.1999999999999997</v>
      </c>
      <c r="AJ7" s="16">
        <f t="shared" si="9"/>
        <v>2.4</v>
      </c>
      <c r="AK7" s="16">
        <f t="shared" si="9"/>
        <v>2.6</v>
      </c>
      <c r="AL7" s="17">
        <f t="shared" si="9"/>
        <v>2.8000000000000003</v>
      </c>
    </row>
    <row r="8" spans="1:38" x14ac:dyDescent="0.3">
      <c r="E8" s="6">
        <f t="shared" si="1"/>
        <v>1.4</v>
      </c>
      <c r="F8" s="7">
        <f t="shared" si="2"/>
        <v>4</v>
      </c>
      <c r="G8" s="12">
        <f t="shared" ref="G8:S8" si="10">(G20+H21+G22+F21)/4</f>
        <v>4.0526421064459752</v>
      </c>
      <c r="H8" s="12">
        <f t="shared" si="10"/>
        <v>4.1266346239826159</v>
      </c>
      <c r="I8" s="12">
        <f t="shared" si="10"/>
        <v>4.2517900296834314</v>
      </c>
      <c r="J8" s="12">
        <f t="shared" si="10"/>
        <v>4.474171233714344</v>
      </c>
      <c r="K8" s="12">
        <f t="shared" si="10"/>
        <v>4.8432372393719767</v>
      </c>
      <c r="L8" s="12">
        <f t="shared" si="10"/>
        <v>5.2420608884190019</v>
      </c>
      <c r="M8" s="12">
        <f t="shared" si="10"/>
        <v>5.6105811409677324</v>
      </c>
      <c r="N8" s="12">
        <f t="shared" si="10"/>
        <v>5.9287079449440823</v>
      </c>
      <c r="O8" s="12">
        <f t="shared" si="10"/>
        <v>6.1944145626442637</v>
      </c>
      <c r="P8" s="12">
        <f t="shared" si="10"/>
        <v>6.4131647212713627</v>
      </c>
      <c r="Q8" s="12">
        <f t="shared" si="10"/>
        <v>6.5934588330273396</v>
      </c>
      <c r="R8" s="12">
        <f t="shared" si="10"/>
        <v>6.7448746992383004</v>
      </c>
      <c r="S8" s="12">
        <f t="shared" si="10"/>
        <v>6.8771790322891349</v>
      </c>
      <c r="T8" s="7">
        <f t="shared" si="5"/>
        <v>7</v>
      </c>
      <c r="U8" s="4">
        <f t="shared" si="6"/>
        <v>8</v>
      </c>
      <c r="W8" s="31" t="s">
        <v>14</v>
      </c>
      <c r="X8" s="16">
        <f>2</f>
        <v>2</v>
      </c>
      <c r="Y8" s="16">
        <f>2</f>
        <v>2</v>
      </c>
      <c r="Z8" s="16">
        <f>2</f>
        <v>2</v>
      </c>
      <c r="AA8" s="16">
        <f>2</f>
        <v>2</v>
      </c>
      <c r="AB8" s="16">
        <f>2</f>
        <v>2</v>
      </c>
      <c r="AC8" s="16">
        <f>2</f>
        <v>2</v>
      </c>
      <c r="AD8" s="16">
        <f>2</f>
        <v>2</v>
      </c>
      <c r="AE8" s="16">
        <f>2</f>
        <v>2</v>
      </c>
      <c r="AF8" s="16">
        <f>2</f>
        <v>2</v>
      </c>
      <c r="AG8" s="16">
        <f>2</f>
        <v>2</v>
      </c>
      <c r="AH8" s="16">
        <f>2</f>
        <v>2</v>
      </c>
      <c r="AI8" s="16">
        <f>2</f>
        <v>2</v>
      </c>
      <c r="AJ8" s="16">
        <f>2</f>
        <v>2</v>
      </c>
      <c r="AK8" s="16">
        <f>2</f>
        <v>2</v>
      </c>
      <c r="AL8" s="16">
        <f>2</f>
        <v>2</v>
      </c>
    </row>
    <row r="9" spans="1:38" x14ac:dyDescent="0.3">
      <c r="E9" s="6">
        <f t="shared" si="1"/>
        <v>1.2</v>
      </c>
      <c r="F9" s="7">
        <f>F10+$B$4*$B$2</f>
        <v>2</v>
      </c>
      <c r="G9" s="12">
        <f t="shared" ref="G9:S9" si="11">(G21+H22+G23+F22)/4</f>
        <v>2.0354233751437012</v>
      </c>
      <c r="H9" s="12">
        <f t="shared" si="11"/>
        <v>2.0890513961841739</v>
      </c>
      <c r="I9" s="12">
        <f t="shared" si="11"/>
        <v>2.194147589988189</v>
      </c>
      <c r="J9" s="12">
        <f t="shared" si="11"/>
        <v>2.4357489421841789</v>
      </c>
      <c r="K9" s="12">
        <f t="shared" si="11"/>
        <v>3.0746769585919971</v>
      </c>
      <c r="L9" s="12">
        <f t="shared" si="11"/>
        <v>3.6922984856763237</v>
      </c>
      <c r="M9" s="12">
        <f t="shared" si="11"/>
        <v>4.2174403054853933</v>
      </c>
      <c r="N9" s="12">
        <f t="shared" si="11"/>
        <v>4.6482311263033083</v>
      </c>
      <c r="O9" s="12">
        <f t="shared" si="11"/>
        <v>4.9963790874444012</v>
      </c>
      <c r="P9" s="12">
        <f t="shared" si="11"/>
        <v>5.2761852046602016</v>
      </c>
      <c r="Q9" s="12">
        <f t="shared" si="11"/>
        <v>5.5023946086763962</v>
      </c>
      <c r="R9" s="12">
        <f t="shared" si="11"/>
        <v>5.6894231720890431</v>
      </c>
      <c r="S9" s="12">
        <f t="shared" si="11"/>
        <v>5.8509700479715772</v>
      </c>
      <c r="T9" s="7">
        <f t="shared" si="5"/>
        <v>6</v>
      </c>
      <c r="U9" s="4">
        <f t="shared" si="6"/>
        <v>7</v>
      </c>
      <c r="W9" s="31" t="s">
        <v>10</v>
      </c>
      <c r="X9" s="18">
        <f>F31</f>
        <v>10</v>
      </c>
      <c r="Y9" s="18">
        <f>G31</f>
        <v>9.8582767743048993</v>
      </c>
      <c r="Z9" s="18">
        <f t="shared" ref="Z9:AL9" si="12">H31</f>
        <v>9.6756592369132477</v>
      </c>
      <c r="AA9" s="18">
        <f t="shared" si="12"/>
        <v>9.4096350062731116</v>
      </c>
      <c r="AB9" s="18">
        <f t="shared" si="12"/>
        <v>9.0239141692067548</v>
      </c>
      <c r="AC9" s="18">
        <f t="shared" si="12"/>
        <v>8.5155653344107485</v>
      </c>
      <c r="AD9" s="18">
        <f t="shared" si="12"/>
        <v>7.9485466254543446</v>
      </c>
      <c r="AE9" s="18">
        <f t="shared" si="12"/>
        <v>7.3892547169568523</v>
      </c>
      <c r="AF9" s="18">
        <f t="shared" si="12"/>
        <v>6.8790495069462931</v>
      </c>
      <c r="AG9" s="18">
        <f t="shared" si="12"/>
        <v>6.4349682297533484</v>
      </c>
      <c r="AH9" s="18">
        <f t="shared" si="12"/>
        <v>6.0578560709646823</v>
      </c>
      <c r="AI9" s="18">
        <f t="shared" si="12"/>
        <v>5.7394576528168262</v>
      </c>
      <c r="AJ9" s="18">
        <f t="shared" si="12"/>
        <v>5.466981200625094</v>
      </c>
      <c r="AK9" s="18">
        <f t="shared" si="12"/>
        <v>5.225656058540622</v>
      </c>
      <c r="AL9" s="19">
        <f t="shared" si="12"/>
        <v>5</v>
      </c>
    </row>
    <row r="10" spans="1:38" x14ac:dyDescent="0.3">
      <c r="A10" s="1" t="s">
        <v>4</v>
      </c>
      <c r="B10" s="1">
        <v>300</v>
      </c>
      <c r="E10" s="6">
        <f t="shared" si="1"/>
        <v>1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12">
        <f t="shared" ref="K10:S10" si="13">(K22+L23+K24+J23)/4</f>
        <v>1.3274231931405811</v>
      </c>
      <c r="L10" s="12">
        <f t="shared" si="13"/>
        <v>2.2350158287552464</v>
      </c>
      <c r="M10" s="12">
        <f t="shared" si="13"/>
        <v>2.9186505221876633</v>
      </c>
      <c r="N10" s="12">
        <f t="shared" si="13"/>
        <v>3.4503972282043409</v>
      </c>
      <c r="O10" s="12">
        <f t="shared" si="13"/>
        <v>3.8666855239550637</v>
      </c>
      <c r="P10" s="12">
        <f t="shared" si="13"/>
        <v>4.192802464744295</v>
      </c>
      <c r="Q10" s="12">
        <f t="shared" si="13"/>
        <v>4.4505112819815373</v>
      </c>
      <c r="R10" s="12">
        <f t="shared" si="13"/>
        <v>4.6594533729664791</v>
      </c>
      <c r="S10" s="12">
        <f t="shared" si="13"/>
        <v>4.8372780097724029</v>
      </c>
      <c r="T10" s="7">
        <f t="shared" si="5"/>
        <v>5</v>
      </c>
      <c r="U10" s="4">
        <f t="shared" si="6"/>
        <v>6</v>
      </c>
      <c r="W10" s="31" t="s">
        <v>11</v>
      </c>
      <c r="X10" s="18">
        <f>F44</f>
        <v>0</v>
      </c>
      <c r="Y10" s="18">
        <f t="shared" ref="Y10:AL10" si="14">G44</f>
        <v>0</v>
      </c>
      <c r="Z10" s="18">
        <f t="shared" si="14"/>
        <v>0</v>
      </c>
      <c r="AA10" s="18">
        <f t="shared" si="14"/>
        <v>0</v>
      </c>
      <c r="AB10" s="18">
        <f t="shared" si="14"/>
        <v>0</v>
      </c>
      <c r="AC10" s="18">
        <f t="shared" si="14"/>
        <v>0</v>
      </c>
      <c r="AD10" s="18">
        <f t="shared" si="14"/>
        <v>0</v>
      </c>
      <c r="AE10" s="18">
        <f t="shared" si="14"/>
        <v>0</v>
      </c>
      <c r="AF10" s="18">
        <f t="shared" si="14"/>
        <v>0</v>
      </c>
      <c r="AG10" s="18">
        <f t="shared" si="14"/>
        <v>0</v>
      </c>
      <c r="AH10" s="18">
        <f t="shared" si="14"/>
        <v>0</v>
      </c>
      <c r="AI10" s="18">
        <f t="shared" si="14"/>
        <v>0</v>
      </c>
      <c r="AJ10" s="18">
        <f t="shared" si="14"/>
        <v>0</v>
      </c>
      <c r="AK10" s="18">
        <f t="shared" si="14"/>
        <v>0</v>
      </c>
      <c r="AL10" s="19">
        <f t="shared" si="14"/>
        <v>0</v>
      </c>
    </row>
    <row r="11" spans="1:38" x14ac:dyDescent="0.3">
      <c r="E11" s="6">
        <f t="shared" si="1"/>
        <v>0.8</v>
      </c>
      <c r="F11" s="8"/>
      <c r="G11" s="8"/>
      <c r="H11" s="8"/>
      <c r="I11" s="8"/>
      <c r="J11" s="8"/>
      <c r="K11" s="7">
        <v>0</v>
      </c>
      <c r="L11" s="12">
        <f t="shared" ref="L11:S11" si="15">(L23+M24+L25+K24)/4</f>
        <v>1.0016911459841729</v>
      </c>
      <c r="M11" s="12">
        <f t="shared" si="15"/>
        <v>1.7717487723234224</v>
      </c>
      <c r="N11" s="12">
        <f t="shared" si="15"/>
        <v>2.3680218004020603</v>
      </c>
      <c r="O11" s="12">
        <f t="shared" si="15"/>
        <v>2.8271633796161399</v>
      </c>
      <c r="P11" s="12">
        <f t="shared" si="15"/>
        <v>3.1778279143367341</v>
      </c>
      <c r="Q11" s="12">
        <f t="shared" si="15"/>
        <v>3.4473947372538918</v>
      </c>
      <c r="R11" s="12">
        <f t="shared" si="15"/>
        <v>3.6606010708649892</v>
      </c>
      <c r="S11" s="12">
        <f t="shared" si="15"/>
        <v>3.8386886401185127</v>
      </c>
      <c r="T11" s="7">
        <f t="shared" si="5"/>
        <v>4</v>
      </c>
      <c r="U11" s="4">
        <f t="shared" si="6"/>
        <v>5</v>
      </c>
      <c r="W11" s="31" t="s">
        <v>15</v>
      </c>
      <c r="X11" s="18">
        <f>F57</f>
        <v>10</v>
      </c>
      <c r="Y11" s="18">
        <f t="shared" ref="Y11:AL11" si="16">G57</f>
        <v>9.8582767743048993</v>
      </c>
      <c r="Z11" s="18">
        <f t="shared" si="16"/>
        <v>9.6756592369132477</v>
      </c>
      <c r="AA11" s="18">
        <f t="shared" si="16"/>
        <v>9.4096350062731116</v>
      </c>
      <c r="AB11" s="18">
        <f t="shared" si="16"/>
        <v>9.0239141692067548</v>
      </c>
      <c r="AC11" s="18">
        <f t="shared" si="16"/>
        <v>8.5155653344107485</v>
      </c>
      <c r="AD11" s="18">
        <f t="shared" si="16"/>
        <v>7.9485466254543446</v>
      </c>
      <c r="AE11" s="18">
        <f t="shared" si="16"/>
        <v>7.3892547169568523</v>
      </c>
      <c r="AF11" s="18">
        <f t="shared" si="16"/>
        <v>6.8790495069462931</v>
      </c>
      <c r="AG11" s="18">
        <f t="shared" si="16"/>
        <v>6.4349682297533484</v>
      </c>
      <c r="AH11" s="18">
        <f t="shared" si="16"/>
        <v>6.0578560709646823</v>
      </c>
      <c r="AI11" s="18">
        <f t="shared" si="16"/>
        <v>5.7394576528168262</v>
      </c>
      <c r="AJ11" s="18">
        <f t="shared" si="16"/>
        <v>5.466981200625094</v>
      </c>
      <c r="AK11" s="18">
        <f t="shared" si="16"/>
        <v>5.225656058540622</v>
      </c>
      <c r="AL11" s="19">
        <f t="shared" si="16"/>
        <v>5</v>
      </c>
    </row>
    <row r="12" spans="1:38" x14ac:dyDescent="0.3">
      <c r="A12" s="1" t="s">
        <v>5</v>
      </c>
      <c r="B12" s="1">
        <v>15</v>
      </c>
      <c r="E12" s="6">
        <f t="shared" si="1"/>
        <v>0.60000000000000009</v>
      </c>
      <c r="F12" s="8"/>
      <c r="G12" s="8"/>
      <c r="H12" s="8"/>
      <c r="I12" s="8"/>
      <c r="J12" s="8"/>
      <c r="K12" s="8"/>
      <c r="L12" s="7">
        <v>0</v>
      </c>
      <c r="M12" s="12">
        <f t="shared" ref="M12:S12" si="17">(M24+N25+M26+L25)/4</f>
        <v>0.79863165596707919</v>
      </c>
      <c r="N12" s="12">
        <f t="shared" si="17"/>
        <v>1.4227778691455795</v>
      </c>
      <c r="O12" s="12">
        <f t="shared" si="17"/>
        <v>1.8961183376882009</v>
      </c>
      <c r="P12" s="12">
        <f t="shared" si="17"/>
        <v>2.2439511326791064</v>
      </c>
      <c r="Q12" s="12">
        <f t="shared" si="17"/>
        <v>2.5006387344439092</v>
      </c>
      <c r="R12" s="12">
        <f t="shared" si="17"/>
        <v>2.6968675710597356</v>
      </c>
      <c r="S12" s="12">
        <f t="shared" si="17"/>
        <v>2.856875500864505</v>
      </c>
      <c r="T12" s="7">
        <f t="shared" si="5"/>
        <v>3</v>
      </c>
      <c r="U12" s="4">
        <f t="shared" si="6"/>
        <v>4</v>
      </c>
      <c r="W12" s="31" t="s">
        <v>16</v>
      </c>
      <c r="X12" s="16">
        <f>$B$5</f>
        <v>101325</v>
      </c>
      <c r="Y12" s="16">
        <f>(X12+(X11^2)/2)-(Y11^2)/2</f>
        <v>101326.4071895206</v>
      </c>
      <c r="Z12" s="16">
        <f t="shared" ref="Z12:AL12" si="18">(Y12+(Y11^2)/2)-(Z11^2)/2</f>
        <v>101328.19080916556</v>
      </c>
      <c r="AA12" s="16">
        <f t="shared" si="18"/>
        <v>101330.72938452435</v>
      </c>
      <c r="AB12" s="16">
        <f t="shared" si="18"/>
        <v>101334.28448653339</v>
      </c>
      <c r="AC12" s="16">
        <f t="shared" si="18"/>
        <v>101338.74257351769</v>
      </c>
      <c r="AD12" s="16">
        <f t="shared" si="18"/>
        <v>101343.41030327149</v>
      </c>
      <c r="AE12" s="16">
        <f t="shared" si="18"/>
        <v>101347.69945736397</v>
      </c>
      <c r="AF12" s="16">
        <f t="shared" si="18"/>
        <v>101351.3393389405</v>
      </c>
      <c r="AG12" s="16">
        <f t="shared" si="18"/>
        <v>101354.29559194103</v>
      </c>
      <c r="AH12" s="16">
        <f t="shared" si="18"/>
        <v>101356.65118991173</v>
      </c>
      <c r="AI12" s="16">
        <f t="shared" si="18"/>
        <v>101358.52931292576</v>
      </c>
      <c r="AJ12" s="16">
        <f t="shared" si="18"/>
        <v>101360.05605827601</v>
      </c>
      <c r="AK12" s="16">
        <f t="shared" si="18"/>
        <v>101361.34625937892</v>
      </c>
      <c r="AL12" s="17">
        <f t="shared" si="18"/>
        <v>101362.5</v>
      </c>
    </row>
    <row r="13" spans="1:38" ht="15" thickBot="1" x14ac:dyDescent="0.35">
      <c r="A13" s="1" t="s">
        <v>6</v>
      </c>
      <c r="B13" s="1">
        <v>11</v>
      </c>
      <c r="E13" s="6">
        <f>E14+$B$2</f>
        <v>0.4</v>
      </c>
      <c r="F13" s="8"/>
      <c r="G13" s="8"/>
      <c r="H13" s="8"/>
      <c r="I13" s="8"/>
      <c r="J13" s="8"/>
      <c r="K13" s="8"/>
      <c r="L13" s="8"/>
      <c r="M13" s="7">
        <v>0</v>
      </c>
      <c r="N13" s="12">
        <f>(N25+O26+N27+M26)/4</f>
        <v>0.62833971629136132</v>
      </c>
      <c r="O13" s="12">
        <f t="shared" ref="O13:S13" si="19">(O25+P26+O27+N26)/4</f>
        <v>1.0905810115475705</v>
      </c>
      <c r="P13" s="12">
        <f t="shared" si="19"/>
        <v>1.4012195910538192</v>
      </c>
      <c r="Q13" s="12">
        <f t="shared" si="19"/>
        <v>1.6143415379003314</v>
      </c>
      <c r="R13" s="12">
        <f t="shared" si="19"/>
        <v>1.7693550103445033</v>
      </c>
      <c r="S13" s="12">
        <f t="shared" si="19"/>
        <v>1.8919458089999575</v>
      </c>
      <c r="T13" s="7">
        <f t="shared" si="5"/>
        <v>2</v>
      </c>
      <c r="U13" s="4">
        <f t="shared" si="6"/>
        <v>3</v>
      </c>
      <c r="W13" s="32" t="s">
        <v>17</v>
      </c>
      <c r="X13" s="24">
        <f>(X12-$B$5)/(($B$4^2)/2)</f>
        <v>0</v>
      </c>
      <c r="Y13" s="24">
        <f>(Y12-$B$5)/(($B$4^2)/2)</f>
        <v>2.8143790411995724E-2</v>
      </c>
      <c r="Z13" s="24">
        <f t="shared" ref="Z13:AL13" si="20">(Z12-$B$5)/(($B$4^2)/2)</f>
        <v>6.3816183311282651E-2</v>
      </c>
      <c r="AA13" s="24">
        <f t="shared" si="20"/>
        <v>0.11458769048709655</v>
      </c>
      <c r="AB13" s="24">
        <f t="shared" si="20"/>
        <v>0.18568973066780017</v>
      </c>
      <c r="AC13" s="24">
        <f t="shared" si="20"/>
        <v>0.27485147035389673</v>
      </c>
      <c r="AD13" s="24">
        <f t="shared" si="20"/>
        <v>0.36820606542984025</v>
      </c>
      <c r="AE13" s="24">
        <f t="shared" si="20"/>
        <v>0.45398914727935336</v>
      </c>
      <c r="AF13" s="24">
        <f t="shared" si="20"/>
        <v>0.52678677880991021</v>
      </c>
      <c r="AG13" s="24">
        <f t="shared" si="20"/>
        <v>0.5859118388206116</v>
      </c>
      <c r="AH13" s="24">
        <f t="shared" si="20"/>
        <v>0.63302379823464439</v>
      </c>
      <c r="AI13" s="24">
        <f t="shared" si="20"/>
        <v>0.67058625851524989</v>
      </c>
      <c r="AJ13" s="24">
        <f t="shared" si="20"/>
        <v>0.70112116552016235</v>
      </c>
      <c r="AK13" s="24">
        <f t="shared" si="20"/>
        <v>0.72692518757830837</v>
      </c>
      <c r="AL13" s="24">
        <f t="shared" si="20"/>
        <v>0.75</v>
      </c>
    </row>
    <row r="14" spans="1:38" x14ac:dyDescent="0.3">
      <c r="A14" s="1" t="s">
        <v>7</v>
      </c>
      <c r="B14" s="1">
        <v>15</v>
      </c>
      <c r="E14" s="6">
        <f>E15+$B$2</f>
        <v>0.2</v>
      </c>
      <c r="F14" s="8"/>
      <c r="G14" s="8"/>
      <c r="H14" s="8"/>
      <c r="I14" s="8"/>
      <c r="J14" s="8"/>
      <c r="K14" s="8"/>
      <c r="L14" s="8"/>
      <c r="M14" s="8"/>
      <c r="N14" s="7">
        <v>0</v>
      </c>
      <c r="O14" s="12">
        <f t="shared" ref="O14:S14" si="21">(O26+P27+O28+N27)/4</f>
        <v>0.43664642827586669</v>
      </c>
      <c r="P14" s="12">
        <f t="shared" si="21"/>
        <v>0.6560047123513989</v>
      </c>
      <c r="Q14" s="12">
        <f t="shared" si="21"/>
        <v>0.78615284528695739</v>
      </c>
      <c r="R14" s="12">
        <f t="shared" si="21"/>
        <v>0.87426514526676091</v>
      </c>
      <c r="S14" s="12">
        <f t="shared" si="21"/>
        <v>0.94155273704516429</v>
      </c>
      <c r="T14" s="7">
        <f>T15+$B$6*$B$2</f>
        <v>1</v>
      </c>
      <c r="U14" s="4">
        <f>U15+1</f>
        <v>2</v>
      </c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x14ac:dyDescent="0.3">
      <c r="A15" s="1" t="s">
        <v>8</v>
      </c>
      <c r="B15" s="1">
        <v>6</v>
      </c>
      <c r="E15" s="6">
        <v>0</v>
      </c>
      <c r="F15" s="9"/>
      <c r="G15" s="8"/>
      <c r="H15" s="8"/>
      <c r="I15" s="8"/>
      <c r="J15" s="8"/>
      <c r="K15" s="8"/>
      <c r="L15" s="8"/>
      <c r="M15" s="8"/>
      <c r="N15" s="8"/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4">
        <v>1</v>
      </c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x14ac:dyDescent="0.3">
      <c r="A16" s="2" t="s">
        <v>9</v>
      </c>
      <c r="B16" s="1">
        <v>0</v>
      </c>
      <c r="E16" s="5"/>
      <c r="F16" s="6">
        <v>0</v>
      </c>
      <c r="G16" s="6">
        <f>F16+$B$2</f>
        <v>0.2</v>
      </c>
      <c r="H16" s="6">
        <f t="shared" ref="H16:T16" si="22">G16+$B$2</f>
        <v>0.4</v>
      </c>
      <c r="I16" s="6">
        <f t="shared" si="22"/>
        <v>0.60000000000000009</v>
      </c>
      <c r="J16" s="6">
        <f t="shared" si="22"/>
        <v>0.8</v>
      </c>
      <c r="K16" s="6">
        <f t="shared" si="22"/>
        <v>1</v>
      </c>
      <c r="L16" s="6">
        <f t="shared" si="22"/>
        <v>1.2</v>
      </c>
      <c r="M16" s="6">
        <f t="shared" si="22"/>
        <v>1.4</v>
      </c>
      <c r="N16" s="6">
        <f t="shared" si="22"/>
        <v>1.5999999999999999</v>
      </c>
      <c r="O16" s="6">
        <f t="shared" si="22"/>
        <v>1.7999999999999998</v>
      </c>
      <c r="P16" s="6">
        <f t="shared" si="22"/>
        <v>1.9999999999999998</v>
      </c>
      <c r="Q16" s="6">
        <f t="shared" si="22"/>
        <v>2.1999999999999997</v>
      </c>
      <c r="R16" s="6">
        <f t="shared" si="22"/>
        <v>2.4</v>
      </c>
      <c r="S16" s="6">
        <f t="shared" si="22"/>
        <v>2.6</v>
      </c>
      <c r="T16" s="6">
        <f t="shared" si="22"/>
        <v>2.8000000000000003</v>
      </c>
      <c r="U16" s="5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4:38" x14ac:dyDescent="0.3"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4:38" x14ac:dyDescent="0.3">
      <c r="E18" s="6">
        <f t="shared" ref="E18:E25" si="23">E19+$B$2</f>
        <v>1.9999999999999998</v>
      </c>
      <c r="F18" s="11">
        <v>10</v>
      </c>
      <c r="G18" s="11">
        <v>10</v>
      </c>
      <c r="H18" s="11">
        <v>10</v>
      </c>
      <c r="I18" s="11">
        <v>10</v>
      </c>
      <c r="J18" s="11">
        <v>10</v>
      </c>
      <c r="K18" s="11">
        <v>10</v>
      </c>
      <c r="L18" s="11">
        <v>10</v>
      </c>
      <c r="M18" s="11">
        <v>10</v>
      </c>
      <c r="N18" s="11">
        <v>10</v>
      </c>
      <c r="O18" s="11">
        <v>10</v>
      </c>
      <c r="P18" s="11">
        <v>10</v>
      </c>
      <c r="Q18" s="11">
        <v>10</v>
      </c>
      <c r="R18" s="11">
        <v>10</v>
      </c>
      <c r="S18" s="11">
        <v>10</v>
      </c>
      <c r="T18" s="11">
        <v>10</v>
      </c>
      <c r="U18" s="4">
        <f>U19+1</f>
        <v>11</v>
      </c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4:38" x14ac:dyDescent="0.3">
      <c r="E19" s="6">
        <f t="shared" si="23"/>
        <v>1.7999999999999998</v>
      </c>
      <c r="F19" s="11">
        <v>8</v>
      </c>
      <c r="G19" s="12">
        <v>8.0283446446366185</v>
      </c>
      <c r="H19" s="12">
        <v>8.0648681515861966</v>
      </c>
      <c r="I19" s="12">
        <v>8.1180729969834662</v>
      </c>
      <c r="J19" s="12">
        <v>8.1952171636329254</v>
      </c>
      <c r="K19" s="12">
        <v>8.2968869294864849</v>
      </c>
      <c r="L19" s="12">
        <v>8.410290670388207</v>
      </c>
      <c r="M19" s="12">
        <v>8.5221490509784452</v>
      </c>
      <c r="N19" s="12">
        <v>8.6241900925606156</v>
      </c>
      <c r="O19" s="12">
        <v>8.7130063475733515</v>
      </c>
      <c r="P19" s="12">
        <v>8.7884287798932164</v>
      </c>
      <c r="Q19" s="12">
        <v>8.852108464208337</v>
      </c>
      <c r="R19" s="12">
        <v>8.9066037562005658</v>
      </c>
      <c r="S19" s="12">
        <v>8.9548687862825691</v>
      </c>
      <c r="T19" s="11">
        <v>9</v>
      </c>
      <c r="U19" s="4">
        <f t="shared" ref="U19:U26" si="24">U20+1</f>
        <v>10</v>
      </c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4:38" x14ac:dyDescent="0.3">
      <c r="E20" s="6">
        <f t="shared" si="23"/>
        <v>1.5999999999999999</v>
      </c>
      <c r="F20" s="11">
        <v>6</v>
      </c>
      <c r="G20" s="12">
        <v>6.0485104289698821</v>
      </c>
      <c r="H20" s="12">
        <v>6.1130549688493172</v>
      </c>
      <c r="I20" s="12">
        <v>6.2122066797623905</v>
      </c>
      <c r="J20" s="12">
        <v>6.3659087381646478</v>
      </c>
      <c r="K20" s="12">
        <v>6.5820398984502706</v>
      </c>
      <c r="L20" s="12">
        <v>6.8221267191715951</v>
      </c>
      <c r="M20" s="12">
        <v>7.0541154634856973</v>
      </c>
      <c r="N20" s="12">
        <v>7.2616049958911679</v>
      </c>
      <c r="O20" s="12">
        <v>7.4394065437434875</v>
      </c>
      <c r="P20" s="12">
        <v>7.588600331446564</v>
      </c>
      <c r="Q20" s="12">
        <v>7.7134013416527569</v>
      </c>
      <c r="R20" s="12">
        <v>7.8194377890090232</v>
      </c>
      <c r="S20" s="12">
        <v>7.9128713969669358</v>
      </c>
      <c r="T20" s="11">
        <v>8</v>
      </c>
      <c r="U20" s="4">
        <f t="shared" si="24"/>
        <v>9</v>
      </c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4:38" x14ac:dyDescent="0.3">
      <c r="E21" s="6">
        <f t="shared" si="23"/>
        <v>1.4</v>
      </c>
      <c r="F21" s="11">
        <v>4</v>
      </c>
      <c r="G21" s="12">
        <v>4.0526421055919997</v>
      </c>
      <c r="H21" s="12">
        <v>4.1266346221944952</v>
      </c>
      <c r="I21" s="12">
        <v>4.2517900265063417</v>
      </c>
      <c r="J21" s="12">
        <v>4.4741712288541624</v>
      </c>
      <c r="K21" s="12">
        <v>4.8432372317227754</v>
      </c>
      <c r="L21" s="12">
        <v>5.2420608782236009</v>
      </c>
      <c r="M21" s="12">
        <v>5.6105811276833002</v>
      </c>
      <c r="N21" s="12">
        <v>5.9287079302422629</v>
      </c>
      <c r="O21" s="12">
        <v>6.1944145466012808</v>
      </c>
      <c r="P21" s="12">
        <v>6.4131647064342978</v>
      </c>
      <c r="Q21" s="12">
        <v>6.5934588198020414</v>
      </c>
      <c r="R21" s="12">
        <v>6.7448746898961236</v>
      </c>
      <c r="S21" s="12">
        <v>6.8771790271662683</v>
      </c>
      <c r="T21" s="11">
        <v>7</v>
      </c>
      <c r="U21" s="4">
        <f t="shared" si="24"/>
        <v>8</v>
      </c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4:38" x14ac:dyDescent="0.3">
      <c r="E22" s="6">
        <f t="shared" si="23"/>
        <v>1.2</v>
      </c>
      <c r="F22" s="11">
        <v>2</v>
      </c>
      <c r="G22" s="12">
        <v>2.0354233746195223</v>
      </c>
      <c r="H22" s="12">
        <v>2.0890513949828051</v>
      </c>
      <c r="I22" s="12">
        <v>2.1941475879226782</v>
      </c>
      <c r="J22" s="12">
        <v>2.4357489384636093</v>
      </c>
      <c r="K22" s="12">
        <v>3.0746769519598742</v>
      </c>
      <c r="L22" s="12">
        <v>3.6922984750983376</v>
      </c>
      <c r="M22" s="12">
        <v>4.2174402919193685</v>
      </c>
      <c r="N22" s="12">
        <v>4.6482311096005819</v>
      </c>
      <c r="O22" s="12">
        <v>4.9963790701570057</v>
      </c>
      <c r="P22" s="12">
        <v>5.2761851872355647</v>
      </c>
      <c r="Q22" s="12">
        <v>5.50239459412618</v>
      </c>
      <c r="R22" s="12">
        <v>5.6894231609758679</v>
      </c>
      <c r="S22" s="12">
        <v>5.8509700422934792</v>
      </c>
      <c r="T22" s="11">
        <v>6</v>
      </c>
      <c r="U22" s="4">
        <f t="shared" si="24"/>
        <v>7</v>
      </c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4:38" x14ac:dyDescent="0.3">
      <c r="E23" s="6">
        <f t="shared" si="23"/>
        <v>1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2">
        <v>1.3274231890832664</v>
      </c>
      <c r="L23" s="12">
        <v>2.2350158206024502</v>
      </c>
      <c r="M23" s="12">
        <v>2.9186505095593542</v>
      </c>
      <c r="N23" s="12">
        <v>3.4503972128945923</v>
      </c>
      <c r="O23" s="12">
        <v>3.8666855063401755</v>
      </c>
      <c r="P23" s="12">
        <v>4.1928024479233228</v>
      </c>
      <c r="Q23" s="12">
        <v>4.4505112666921089</v>
      </c>
      <c r="R23" s="12">
        <v>4.6594533620403897</v>
      </c>
      <c r="S23" s="12">
        <v>4.8372780037441734</v>
      </c>
      <c r="T23" s="11">
        <v>5</v>
      </c>
      <c r="U23" s="4">
        <f t="shared" si="24"/>
        <v>6</v>
      </c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4:38" x14ac:dyDescent="0.3">
      <c r="E24" s="6">
        <f t="shared" si="23"/>
        <v>0.8</v>
      </c>
      <c r="F24" s="8"/>
      <c r="G24" s="8"/>
      <c r="H24" s="8"/>
      <c r="I24" s="8"/>
      <c r="J24" s="8"/>
      <c r="K24" s="11">
        <v>0</v>
      </c>
      <c r="L24" s="12">
        <v>1.0016911412800278</v>
      </c>
      <c r="M24" s="12">
        <v>1.771748763334241</v>
      </c>
      <c r="N24" s="12">
        <v>2.3680217873172529</v>
      </c>
      <c r="O24" s="12">
        <v>2.8271633648453327</v>
      </c>
      <c r="P24" s="12">
        <v>3.1778278987093307</v>
      </c>
      <c r="Q24" s="12">
        <v>3.4473947238362554</v>
      </c>
      <c r="R24" s="12">
        <v>3.6606010604537658</v>
      </c>
      <c r="S24" s="12">
        <v>3.8386886347557407</v>
      </c>
      <c r="T24" s="11">
        <v>4</v>
      </c>
      <c r="U24" s="4">
        <f t="shared" si="24"/>
        <v>5</v>
      </c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4:38" x14ac:dyDescent="0.3">
      <c r="E25" s="6">
        <f t="shared" si="23"/>
        <v>0.60000000000000009</v>
      </c>
      <c r="F25" s="8"/>
      <c r="G25" s="8"/>
      <c r="H25" s="8"/>
      <c r="I25" s="8"/>
      <c r="J25" s="8"/>
      <c r="K25" s="8"/>
      <c r="L25" s="11">
        <v>0</v>
      </c>
      <c r="M25" s="12">
        <v>0.79863165113705437</v>
      </c>
      <c r="N25" s="12">
        <v>1.4227778605340755</v>
      </c>
      <c r="O25" s="12">
        <v>1.8961183260978016</v>
      </c>
      <c r="P25" s="12">
        <v>2.2439511207420249</v>
      </c>
      <c r="Q25" s="12">
        <v>2.50063872316036</v>
      </c>
      <c r="R25" s="12">
        <v>2.6968675628275709</v>
      </c>
      <c r="S25" s="12">
        <v>2.8568754962761096</v>
      </c>
      <c r="T25" s="11">
        <v>3</v>
      </c>
      <c r="U25" s="4">
        <f t="shared" si="24"/>
        <v>4</v>
      </c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</row>
    <row r="26" spans="4:38" x14ac:dyDescent="0.3">
      <c r="E26" s="6">
        <f>E27+$B$2</f>
        <v>0.4</v>
      </c>
      <c r="F26" s="8"/>
      <c r="G26" s="8"/>
      <c r="H26" s="8"/>
      <c r="I26" s="8"/>
      <c r="J26" s="8"/>
      <c r="K26" s="8"/>
      <c r="L26" s="8"/>
      <c r="M26" s="11">
        <v>0</v>
      </c>
      <c r="N26" s="12">
        <v>0.62833971203020922</v>
      </c>
      <c r="O26" s="12">
        <v>1.09058100463137</v>
      </c>
      <c r="P26" s="12">
        <v>1.401219582748934</v>
      </c>
      <c r="Q26" s="12">
        <v>1.614341530369785</v>
      </c>
      <c r="R26" s="12">
        <v>1.7693550043487078</v>
      </c>
      <c r="S26" s="12">
        <v>1.8919458058747094</v>
      </c>
      <c r="T26" s="11">
        <v>2</v>
      </c>
      <c r="U26" s="4">
        <f t="shared" si="24"/>
        <v>3</v>
      </c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</row>
    <row r="27" spans="4:38" x14ac:dyDescent="0.3">
      <c r="E27" s="6">
        <f>E28+$B$2</f>
        <v>0.2</v>
      </c>
      <c r="F27" s="8"/>
      <c r="G27" s="8"/>
      <c r="H27" s="8"/>
      <c r="I27" s="8"/>
      <c r="J27" s="8"/>
      <c r="K27" s="8"/>
      <c r="L27" s="8"/>
      <c r="M27" s="8"/>
      <c r="N27" s="11">
        <v>0</v>
      </c>
      <c r="O27" s="12">
        <v>0.43664642531333753</v>
      </c>
      <c r="P27" s="12">
        <v>0.6560047084720968</v>
      </c>
      <c r="Q27" s="12">
        <v>0.78615284134332408</v>
      </c>
      <c r="R27" s="12">
        <v>0.87426514230594765</v>
      </c>
      <c r="S27" s="12">
        <v>0.94155273537501183</v>
      </c>
      <c r="T27" s="11">
        <v>1</v>
      </c>
      <c r="U27" s="4">
        <f>U28+1</f>
        <v>2</v>
      </c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4:38" x14ac:dyDescent="0.3">
      <c r="E28" s="6">
        <v>0</v>
      </c>
      <c r="F28" s="9"/>
      <c r="G28" s="8"/>
      <c r="H28" s="8"/>
      <c r="I28" s="8"/>
      <c r="J28" s="8"/>
      <c r="K28" s="8"/>
      <c r="L28" s="8"/>
      <c r="M28" s="8"/>
      <c r="N28" s="8"/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4">
        <v>1</v>
      </c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</row>
    <row r="29" spans="4:38" x14ac:dyDescent="0.3">
      <c r="E29" s="5"/>
      <c r="F29" s="6">
        <v>0</v>
      </c>
      <c r="G29" s="6">
        <f>F29+$B$2</f>
        <v>0.2</v>
      </c>
      <c r="H29" s="6">
        <f t="shared" ref="H29:T29" si="25">G29+$B$2</f>
        <v>0.4</v>
      </c>
      <c r="I29" s="6">
        <f t="shared" si="25"/>
        <v>0.60000000000000009</v>
      </c>
      <c r="J29" s="6">
        <f t="shared" si="25"/>
        <v>0.8</v>
      </c>
      <c r="K29" s="6">
        <f t="shared" si="25"/>
        <v>1</v>
      </c>
      <c r="L29" s="6">
        <f t="shared" si="25"/>
        <v>1.2</v>
      </c>
      <c r="M29" s="6">
        <f t="shared" si="25"/>
        <v>1.4</v>
      </c>
      <c r="N29" s="6">
        <f t="shared" si="25"/>
        <v>1.5999999999999999</v>
      </c>
      <c r="O29" s="6">
        <f t="shared" si="25"/>
        <v>1.7999999999999998</v>
      </c>
      <c r="P29" s="6">
        <f t="shared" si="25"/>
        <v>1.9999999999999998</v>
      </c>
      <c r="Q29" s="6">
        <f t="shared" si="25"/>
        <v>2.1999999999999997</v>
      </c>
      <c r="R29" s="6">
        <f t="shared" si="25"/>
        <v>2.4</v>
      </c>
      <c r="S29" s="6">
        <f t="shared" si="25"/>
        <v>2.6</v>
      </c>
      <c r="T29" s="6">
        <f t="shared" si="25"/>
        <v>2.8000000000000003</v>
      </c>
      <c r="U29" s="5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</row>
    <row r="30" spans="4:38" ht="15" thickBot="1" x14ac:dyDescent="0.35">
      <c r="W30" s="25" t="s">
        <v>19</v>
      </c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</row>
    <row r="31" spans="4:38" x14ac:dyDescent="0.3">
      <c r="D31" s="13" t="s">
        <v>10</v>
      </c>
      <c r="E31" s="6">
        <v>1.9999999999999998</v>
      </c>
      <c r="F31" s="7">
        <f>(F5-F6)/$B$2</f>
        <v>10</v>
      </c>
      <c r="G31" s="7">
        <f t="shared" ref="G31:T31" si="26">(G5-G6)/$B$2</f>
        <v>9.8582767743048993</v>
      </c>
      <c r="H31" s="7">
        <f t="shared" si="26"/>
        <v>9.6756592369132477</v>
      </c>
      <c r="I31" s="7">
        <f t="shared" si="26"/>
        <v>9.4096350062731116</v>
      </c>
      <c r="J31" s="7">
        <f t="shared" si="26"/>
        <v>9.0239141692067548</v>
      </c>
      <c r="K31" s="7">
        <f t="shared" si="26"/>
        <v>8.5155653344107485</v>
      </c>
      <c r="L31" s="7">
        <f t="shared" si="26"/>
        <v>7.9485466254543446</v>
      </c>
      <c r="M31" s="7">
        <f t="shared" si="26"/>
        <v>7.3892547169568523</v>
      </c>
      <c r="N31" s="7">
        <f t="shared" si="26"/>
        <v>6.8790495069462931</v>
      </c>
      <c r="O31" s="7">
        <f t="shared" si="26"/>
        <v>6.4349682297533484</v>
      </c>
      <c r="P31" s="7">
        <f t="shared" si="26"/>
        <v>6.0578560709646823</v>
      </c>
      <c r="Q31" s="7">
        <f t="shared" si="26"/>
        <v>5.7394576528168262</v>
      </c>
      <c r="R31" s="7">
        <f t="shared" si="26"/>
        <v>5.466981200625094</v>
      </c>
      <c r="S31" s="7">
        <f t="shared" si="26"/>
        <v>5.225656058540622</v>
      </c>
      <c r="T31" s="7">
        <f t="shared" si="26"/>
        <v>5</v>
      </c>
      <c r="U31" s="4">
        <v>11</v>
      </c>
      <c r="W31" s="26" t="s">
        <v>9</v>
      </c>
      <c r="X31" s="14">
        <f>F10</f>
        <v>0</v>
      </c>
      <c r="Y31" s="14">
        <f t="shared" ref="Y31:AB31" si="27">G10</f>
        <v>0</v>
      </c>
      <c r="Z31" s="14">
        <f t="shared" si="27"/>
        <v>0</v>
      </c>
      <c r="AA31" s="14">
        <f t="shared" si="27"/>
        <v>0</v>
      </c>
      <c r="AB31" s="14">
        <f t="shared" si="27"/>
        <v>0</v>
      </c>
      <c r="AC31" s="14">
        <f>K11</f>
        <v>0</v>
      </c>
      <c r="AD31" s="14">
        <f>L12</f>
        <v>0</v>
      </c>
      <c r="AE31" s="14">
        <f>M13</f>
        <v>0</v>
      </c>
      <c r="AF31" s="14">
        <f>N14</f>
        <v>0</v>
      </c>
      <c r="AG31" s="14">
        <f>O15</f>
        <v>0</v>
      </c>
      <c r="AH31" s="14">
        <f t="shared" ref="AH31:AL31" si="28">P15</f>
        <v>0</v>
      </c>
      <c r="AI31" s="14">
        <f t="shared" si="28"/>
        <v>0</v>
      </c>
      <c r="AJ31" s="14">
        <f t="shared" si="28"/>
        <v>0</v>
      </c>
      <c r="AK31" s="14">
        <f t="shared" si="28"/>
        <v>0</v>
      </c>
      <c r="AL31" s="15">
        <f t="shared" si="28"/>
        <v>0</v>
      </c>
    </row>
    <row r="32" spans="4:38" x14ac:dyDescent="0.3">
      <c r="E32" s="6">
        <v>1.7999999999999998</v>
      </c>
      <c r="F32" s="7">
        <f>(F5-F7)/(2*$B$2)</f>
        <v>10</v>
      </c>
      <c r="G32" s="12">
        <f t="shared" ref="G32:T32" si="29">(G5-G7)/(2*$B$2)</f>
        <v>9.8787239255762884</v>
      </c>
      <c r="H32" s="12">
        <f t="shared" si="29"/>
        <v>9.7173625734293978</v>
      </c>
      <c r="I32" s="12">
        <f t="shared" si="29"/>
        <v>9.4694832934351414</v>
      </c>
      <c r="J32" s="12">
        <f t="shared" si="29"/>
        <v>9.0852281433126549</v>
      </c>
      <c r="K32" s="12">
        <f t="shared" si="29"/>
        <v>8.5449002384090598</v>
      </c>
      <c r="L32" s="12">
        <f t="shared" si="29"/>
        <v>7.9446831809076413</v>
      </c>
      <c r="M32" s="12">
        <f t="shared" si="29"/>
        <v>7.3647113164221807</v>
      </c>
      <c r="N32" s="12">
        <f t="shared" si="29"/>
        <v>6.8459874812299599</v>
      </c>
      <c r="O32" s="12">
        <f t="shared" si="29"/>
        <v>6.401483611554772</v>
      </c>
      <c r="P32" s="12">
        <f t="shared" si="29"/>
        <v>6.0284991426726515</v>
      </c>
      <c r="Q32" s="12">
        <f t="shared" si="29"/>
        <v>5.716496622208771</v>
      </c>
      <c r="R32" s="12">
        <f t="shared" si="29"/>
        <v>5.4514055095522629</v>
      </c>
      <c r="S32" s="12">
        <f t="shared" si="29"/>
        <v>5.2178214984638389</v>
      </c>
      <c r="T32" s="7">
        <f t="shared" si="29"/>
        <v>5</v>
      </c>
      <c r="U32" s="4">
        <v>10</v>
      </c>
      <c r="W32" s="27" t="s">
        <v>13</v>
      </c>
      <c r="X32" s="16">
        <f>F16</f>
        <v>0</v>
      </c>
      <c r="Y32" s="16">
        <f t="shared" ref="Y32:AL32" si="30">G16</f>
        <v>0.2</v>
      </c>
      <c r="Z32" s="16">
        <f t="shared" si="30"/>
        <v>0.4</v>
      </c>
      <c r="AA32" s="16">
        <f t="shared" si="30"/>
        <v>0.60000000000000009</v>
      </c>
      <c r="AB32" s="16">
        <f t="shared" si="30"/>
        <v>0.8</v>
      </c>
      <c r="AC32" s="16">
        <f t="shared" si="30"/>
        <v>1</v>
      </c>
      <c r="AD32" s="16">
        <f t="shared" si="30"/>
        <v>1.2</v>
      </c>
      <c r="AE32" s="16">
        <f t="shared" si="30"/>
        <v>1.4</v>
      </c>
      <c r="AF32" s="16">
        <f t="shared" si="30"/>
        <v>1.5999999999999999</v>
      </c>
      <c r="AG32" s="16">
        <f t="shared" si="30"/>
        <v>1.7999999999999998</v>
      </c>
      <c r="AH32" s="16">
        <f t="shared" si="30"/>
        <v>1.9999999999999998</v>
      </c>
      <c r="AI32" s="16">
        <f t="shared" si="30"/>
        <v>2.1999999999999997</v>
      </c>
      <c r="AJ32" s="16">
        <f t="shared" si="30"/>
        <v>2.4</v>
      </c>
      <c r="AK32" s="16">
        <f t="shared" si="30"/>
        <v>2.6</v>
      </c>
      <c r="AL32" s="17">
        <f t="shared" si="30"/>
        <v>2.8000000000000003</v>
      </c>
    </row>
    <row r="33" spans="4:38" x14ac:dyDescent="0.3">
      <c r="E33" s="6">
        <v>1.5999999999999999</v>
      </c>
      <c r="F33" s="7">
        <f t="shared" ref="F33:T33" si="31">(F6-F8)/(2*$B$2)</f>
        <v>10</v>
      </c>
      <c r="G33" s="12">
        <f t="shared" si="31"/>
        <v>9.9392563467326109</v>
      </c>
      <c r="H33" s="12">
        <f t="shared" si="31"/>
        <v>9.8455838215868354</v>
      </c>
      <c r="I33" s="12">
        <f t="shared" si="31"/>
        <v>9.6657074226548652</v>
      </c>
      <c r="J33" s="12">
        <f t="shared" si="31"/>
        <v>9.3026148311107626</v>
      </c>
      <c r="K33" s="12">
        <f t="shared" si="31"/>
        <v>8.634124234364684</v>
      </c>
      <c r="L33" s="12">
        <f t="shared" si="31"/>
        <v>7.9205744662253226</v>
      </c>
      <c r="M33" s="12">
        <f t="shared" si="31"/>
        <v>7.2789197891022424</v>
      </c>
      <c r="N33" s="12">
        <f t="shared" si="31"/>
        <v>6.7387053841666473</v>
      </c>
      <c r="O33" s="12">
        <f t="shared" si="31"/>
        <v>6.2964794785126665</v>
      </c>
      <c r="P33" s="12">
        <f t="shared" si="31"/>
        <v>5.9381601613392521</v>
      </c>
      <c r="Q33" s="12">
        <f t="shared" si="31"/>
        <v>5.6466240910232379</v>
      </c>
      <c r="R33" s="12">
        <f t="shared" si="31"/>
        <v>5.404322651591702</v>
      </c>
      <c r="S33" s="12">
        <f t="shared" si="31"/>
        <v>5.1942243900068519</v>
      </c>
      <c r="T33" s="7">
        <f t="shared" si="31"/>
        <v>5</v>
      </c>
      <c r="U33" s="4">
        <v>9</v>
      </c>
      <c r="W33" s="27" t="s">
        <v>14</v>
      </c>
      <c r="X33" s="16">
        <f>E10</f>
        <v>1</v>
      </c>
      <c r="Y33" s="16">
        <v>1</v>
      </c>
      <c r="Z33" s="16">
        <v>1</v>
      </c>
      <c r="AA33" s="16">
        <v>1</v>
      </c>
      <c r="AB33" s="16">
        <v>1</v>
      </c>
      <c r="AC33" s="20">
        <v>0.8</v>
      </c>
      <c r="AD33" s="20">
        <v>0.6</v>
      </c>
      <c r="AE33" s="20">
        <v>0.4</v>
      </c>
      <c r="AF33" s="20">
        <v>0.2</v>
      </c>
      <c r="AG33" s="20">
        <f t="shared" ref="AG33" si="32">N30</f>
        <v>0</v>
      </c>
      <c r="AH33" s="20">
        <f t="shared" ref="AH33" si="33">O30</f>
        <v>0</v>
      </c>
      <c r="AI33" s="20">
        <f t="shared" ref="AI33" si="34">P30</f>
        <v>0</v>
      </c>
      <c r="AJ33" s="20">
        <f t="shared" ref="AJ33" si="35">Q30</f>
        <v>0</v>
      </c>
      <c r="AK33" s="20">
        <f t="shared" ref="AK33" si="36">R30</f>
        <v>0</v>
      </c>
      <c r="AL33" s="21">
        <f t="shared" ref="AL33" si="37">S30</f>
        <v>0</v>
      </c>
    </row>
    <row r="34" spans="4:38" x14ac:dyDescent="0.3">
      <c r="E34" s="6">
        <v>1.4</v>
      </c>
      <c r="F34" s="7">
        <f t="shared" ref="F34:T34" si="38">(F7-F9)/(2*$B$2)</f>
        <v>10</v>
      </c>
      <c r="G34" s="12">
        <f t="shared" si="38"/>
        <v>10.032717636564458</v>
      </c>
      <c r="H34" s="12">
        <f t="shared" si="38"/>
        <v>10.060008936110167</v>
      </c>
      <c r="I34" s="12">
        <f t="shared" si="38"/>
        <v>10.045147731594385</v>
      </c>
      <c r="J34" s="12">
        <f t="shared" si="38"/>
        <v>9.8253995012268955</v>
      </c>
      <c r="K34" s="12">
        <f t="shared" si="38"/>
        <v>8.7684073651109458</v>
      </c>
      <c r="L34" s="12">
        <f t="shared" si="38"/>
        <v>7.8245706049015489</v>
      </c>
      <c r="M34" s="12">
        <f t="shared" si="38"/>
        <v>7.0916879198643352</v>
      </c>
      <c r="N34" s="12">
        <f t="shared" si="38"/>
        <v>6.5334347030117685</v>
      </c>
      <c r="O34" s="12">
        <f t="shared" si="38"/>
        <v>6.1075686698342242</v>
      </c>
      <c r="P34" s="12">
        <f t="shared" si="38"/>
        <v>5.7810378456768436</v>
      </c>
      <c r="Q34" s="12">
        <f t="shared" si="38"/>
        <v>5.5275168561002381</v>
      </c>
      <c r="R34" s="12">
        <f t="shared" si="38"/>
        <v>5.3250365602251293</v>
      </c>
      <c r="S34" s="12">
        <f t="shared" si="38"/>
        <v>5.1547533816072173</v>
      </c>
      <c r="T34" s="7">
        <f t="shared" si="38"/>
        <v>5</v>
      </c>
      <c r="U34" s="4">
        <v>8</v>
      </c>
      <c r="W34" s="27" t="s">
        <v>10</v>
      </c>
      <c r="X34" s="18">
        <f>F36</f>
        <v>10</v>
      </c>
      <c r="Y34" s="18">
        <f>G36</f>
        <v>10.177116875718506</v>
      </c>
      <c r="Z34" s="18">
        <f>H36</f>
        <v>10.445256980920869</v>
      </c>
      <c r="AA34" s="18">
        <f>I36</f>
        <v>10.970737949940945</v>
      </c>
      <c r="AB34" s="18">
        <f>J36</f>
        <v>12.178744710920894</v>
      </c>
      <c r="AC34" s="18">
        <f>K37</f>
        <v>6.6371159657029049</v>
      </c>
      <c r="AD34" s="18">
        <f>L38</f>
        <v>5.0084557299208639</v>
      </c>
      <c r="AE34" s="18">
        <f>M39</f>
        <v>3.993158279835396</v>
      </c>
      <c r="AF34" s="18">
        <f>N40</f>
        <v>3.1416985814568066</v>
      </c>
      <c r="AG34" s="18">
        <f t="shared" ref="AG34:AL34" si="39">O41</f>
        <v>2.1832321413793334</v>
      </c>
      <c r="AH34" s="18">
        <f t="shared" si="39"/>
        <v>3.2800235617569942</v>
      </c>
      <c r="AI34" s="18">
        <f t="shared" si="39"/>
        <v>3.9307642264347868</v>
      </c>
      <c r="AJ34" s="18">
        <f t="shared" si="39"/>
        <v>4.3713257263338043</v>
      </c>
      <c r="AK34" s="18">
        <f t="shared" si="39"/>
        <v>4.7077636852258209</v>
      </c>
      <c r="AL34" s="19">
        <f t="shared" si="39"/>
        <v>5</v>
      </c>
    </row>
    <row r="35" spans="4:38" x14ac:dyDescent="0.3">
      <c r="E35" s="6">
        <v>1.2</v>
      </c>
      <c r="F35" s="7">
        <f t="shared" ref="F35:T35" si="40">(F8-F10)/(2*$B$2)</f>
        <v>10</v>
      </c>
      <c r="G35" s="12">
        <f t="shared" si="40"/>
        <v>10.131605266114937</v>
      </c>
      <c r="H35" s="12">
        <f t="shared" si="40"/>
        <v>10.316586559956539</v>
      </c>
      <c r="I35" s="12">
        <f t="shared" si="40"/>
        <v>10.629475074208578</v>
      </c>
      <c r="J35" s="12">
        <f t="shared" si="40"/>
        <v>11.18542808428586</v>
      </c>
      <c r="K35" s="12">
        <f t="shared" si="40"/>
        <v>8.789535115578488</v>
      </c>
      <c r="L35" s="12">
        <f t="shared" si="40"/>
        <v>7.5176126491593882</v>
      </c>
      <c r="M35" s="12">
        <f t="shared" si="40"/>
        <v>6.7298265469501724</v>
      </c>
      <c r="N35" s="12">
        <f t="shared" si="40"/>
        <v>6.1957767918493527</v>
      </c>
      <c r="O35" s="12">
        <f t="shared" si="40"/>
        <v>5.8193225967229996</v>
      </c>
      <c r="P35" s="12">
        <f t="shared" si="40"/>
        <v>5.5509056413176694</v>
      </c>
      <c r="Q35" s="12">
        <f t="shared" si="40"/>
        <v>5.3573688776145056</v>
      </c>
      <c r="R35" s="12">
        <f t="shared" si="40"/>
        <v>5.2135533156795528</v>
      </c>
      <c r="S35" s="12">
        <f t="shared" si="40"/>
        <v>5.09975255629183</v>
      </c>
      <c r="T35" s="7">
        <f t="shared" si="40"/>
        <v>5</v>
      </c>
      <c r="U35" s="4">
        <v>7</v>
      </c>
      <c r="W35" s="27" t="s">
        <v>11</v>
      </c>
      <c r="X35" s="18">
        <f>F49</f>
        <v>0</v>
      </c>
      <c r="Y35" s="18">
        <f>G49</f>
        <v>0</v>
      </c>
      <c r="Z35" s="18">
        <f>H49</f>
        <v>0</v>
      </c>
      <c r="AA35" s="18">
        <f>I49</f>
        <v>0</v>
      </c>
      <c r="AB35" s="18">
        <f>J49</f>
        <v>-3.3185579727081658</v>
      </c>
      <c r="AC35" s="18">
        <f>K50</f>
        <v>-5.0084557299208639</v>
      </c>
      <c r="AD35" s="18">
        <f>L51</f>
        <v>-3.993158279835396</v>
      </c>
      <c r="AE35" s="18">
        <f>M52</f>
        <v>-3.1416985814568066</v>
      </c>
      <c r="AF35" s="18">
        <f>N53</f>
        <v>-2.1832321413793334</v>
      </c>
      <c r="AG35" s="18">
        <f t="shared" ref="AG35:AL35" si="41">O54</f>
        <v>0</v>
      </c>
      <c r="AH35" s="18">
        <f t="shared" si="41"/>
        <v>0</v>
      </c>
      <c r="AI35" s="18">
        <f t="shared" si="41"/>
        <v>0</v>
      </c>
      <c r="AJ35" s="18">
        <f t="shared" si="41"/>
        <v>0</v>
      </c>
      <c r="AK35" s="18">
        <f t="shared" si="41"/>
        <v>0</v>
      </c>
      <c r="AL35" s="19">
        <f t="shared" si="41"/>
        <v>0</v>
      </c>
    </row>
    <row r="36" spans="4:38" x14ac:dyDescent="0.3">
      <c r="E36" s="6">
        <v>1</v>
      </c>
      <c r="F36" s="7">
        <f>(F9-F10)/($B$2)</f>
        <v>10</v>
      </c>
      <c r="G36" s="7">
        <f t="shared" ref="G36:J36" si="42">(G9-G10)/($B$2)</f>
        <v>10.177116875718506</v>
      </c>
      <c r="H36" s="7">
        <f t="shared" si="42"/>
        <v>10.445256980920869</v>
      </c>
      <c r="I36" s="7">
        <f t="shared" si="42"/>
        <v>10.970737949940945</v>
      </c>
      <c r="J36" s="7">
        <f t="shared" si="42"/>
        <v>12.178744710920894</v>
      </c>
      <c r="K36" s="7">
        <f t="shared" ref="K36:T36" si="43">(K9-K11)/(2*$B$2)</f>
        <v>7.6866923964799927</v>
      </c>
      <c r="L36" s="7">
        <f t="shared" si="43"/>
        <v>6.7265183492303766</v>
      </c>
      <c r="M36" s="7">
        <f t="shared" si="43"/>
        <v>6.1142288329049261</v>
      </c>
      <c r="N36" s="7">
        <f t="shared" si="43"/>
        <v>5.7005233147531191</v>
      </c>
      <c r="O36" s="7">
        <f t="shared" si="43"/>
        <v>5.4230392695706531</v>
      </c>
      <c r="P36" s="7">
        <f t="shared" si="43"/>
        <v>5.2458932258086683</v>
      </c>
      <c r="Q36" s="7">
        <f t="shared" si="43"/>
        <v>5.137499678556261</v>
      </c>
      <c r="R36" s="7">
        <f t="shared" si="43"/>
        <v>5.0720552530601344</v>
      </c>
      <c r="S36" s="7">
        <f t="shared" si="43"/>
        <v>5.0307035196326604</v>
      </c>
      <c r="T36" s="7">
        <f t="shared" si="43"/>
        <v>5</v>
      </c>
      <c r="U36" s="4">
        <v>6</v>
      </c>
      <c r="W36" s="27" t="s">
        <v>15</v>
      </c>
      <c r="X36" s="18">
        <f>F62</f>
        <v>10</v>
      </c>
      <c r="Y36" s="18">
        <f>G62</f>
        <v>10.177116875718506</v>
      </c>
      <c r="Z36" s="18">
        <f>H62</f>
        <v>10.445256980920869</v>
      </c>
      <c r="AA36" s="18">
        <f>I62</f>
        <v>10.970737949940945</v>
      </c>
      <c r="AB36" s="18">
        <f>J62</f>
        <v>12.622782963832048</v>
      </c>
      <c r="AC36" s="18">
        <f>K63</f>
        <v>8.314802291141115</v>
      </c>
      <c r="AD36" s="18">
        <f>L64</f>
        <v>6.4054618761175304</v>
      </c>
      <c r="AE36" s="18">
        <f>M65</f>
        <v>5.0809037606065406</v>
      </c>
      <c r="AF36" s="18">
        <f>N66</f>
        <v>3.8258035182010457</v>
      </c>
      <c r="AG36" s="18">
        <f t="shared" ref="AG36:AL36" si="44">O67</f>
        <v>2.1832321413793334</v>
      </c>
      <c r="AH36" s="18">
        <f t="shared" si="44"/>
        <v>3.2800235617569942</v>
      </c>
      <c r="AI36" s="18">
        <f t="shared" si="44"/>
        <v>3.9307642264347868</v>
      </c>
      <c r="AJ36" s="18">
        <f t="shared" si="44"/>
        <v>4.3713257263338043</v>
      </c>
      <c r="AK36" s="18">
        <f t="shared" si="44"/>
        <v>4.7077636852258209</v>
      </c>
      <c r="AL36" s="19">
        <f t="shared" si="44"/>
        <v>5</v>
      </c>
    </row>
    <row r="37" spans="4:38" x14ac:dyDescent="0.3">
      <c r="E37" s="6">
        <v>0.8</v>
      </c>
      <c r="F37" s="8"/>
      <c r="G37" s="8"/>
      <c r="H37" s="8"/>
      <c r="I37" s="8"/>
      <c r="J37" s="8"/>
      <c r="K37" s="7">
        <f>(K10-K11)/($B$2)</f>
        <v>6.6371159657029049</v>
      </c>
      <c r="L37" s="7">
        <f t="shared" ref="L37:T37" si="45">(L10-L12)/(2*$B$2)</f>
        <v>5.587539571888116</v>
      </c>
      <c r="M37" s="7">
        <f t="shared" si="45"/>
        <v>5.3000471655514598</v>
      </c>
      <c r="N37" s="7">
        <f t="shared" si="45"/>
        <v>5.0690483976469034</v>
      </c>
      <c r="O37" s="7">
        <f t="shared" si="45"/>
        <v>4.9264179656671567</v>
      </c>
      <c r="P37" s="7">
        <f t="shared" si="45"/>
        <v>4.8721283301629708</v>
      </c>
      <c r="Q37" s="7">
        <f t="shared" si="45"/>
        <v>4.8746813688440698</v>
      </c>
      <c r="R37" s="7">
        <f t="shared" si="45"/>
        <v>4.9064645047668582</v>
      </c>
      <c r="S37" s="7">
        <f t="shared" si="45"/>
        <v>4.9510062722697441</v>
      </c>
      <c r="T37" s="7">
        <f t="shared" si="45"/>
        <v>5</v>
      </c>
      <c r="U37" s="4">
        <v>5</v>
      </c>
      <c r="W37" s="27" t="s">
        <v>16</v>
      </c>
      <c r="X37" s="16">
        <f>$B$5</f>
        <v>101325</v>
      </c>
      <c r="Y37" s="16">
        <f>(X37+(X36^2)/2)-(Y36^2)/2</f>
        <v>101323.21314604898</v>
      </c>
      <c r="Z37" s="16">
        <f t="shared" ref="Z37:AL37" si="46">(Y37+(Y36^2)/2)-(Z36^2)/2</f>
        <v>101320.44830330127</v>
      </c>
      <c r="AA37" s="16">
        <f t="shared" si="46"/>
        <v>101314.82145441686</v>
      </c>
      <c r="AB37" s="16">
        <f t="shared" si="46"/>
        <v>101295.33267512399</v>
      </c>
      <c r="AC37" s="16">
        <f t="shared" si="46"/>
        <v>101340.43203142962</v>
      </c>
      <c r="AD37" s="16">
        <f t="shared" si="46"/>
        <v>101354.48502907681</v>
      </c>
      <c r="AE37" s="16">
        <f t="shared" si="46"/>
        <v>101362.09220848772</v>
      </c>
      <c r="AF37" s="16">
        <f t="shared" si="46"/>
        <v>101367.68161372007</v>
      </c>
      <c r="AG37" s="16">
        <f t="shared" si="46"/>
        <v>101372.61674870843</v>
      </c>
      <c r="AH37" s="16">
        <f t="shared" si="46"/>
        <v>101369.62072271715</v>
      </c>
      <c r="AI37" s="16">
        <f t="shared" si="46"/>
        <v>101367.2745462981</v>
      </c>
      <c r="AJ37" s="16">
        <f t="shared" si="46"/>
        <v>101365.44575569715</v>
      </c>
      <c r="AK37" s="16">
        <f t="shared" si="46"/>
        <v>101363.91848054204</v>
      </c>
      <c r="AL37" s="17">
        <f t="shared" si="46"/>
        <v>101362.5</v>
      </c>
    </row>
    <row r="38" spans="4:38" ht="15" thickBot="1" x14ac:dyDescent="0.35">
      <c r="E38" s="6">
        <v>0.60000000000000009</v>
      </c>
      <c r="F38" s="8"/>
      <c r="G38" s="8"/>
      <c r="H38" s="8"/>
      <c r="I38" s="8"/>
      <c r="J38" s="8"/>
      <c r="K38" s="8"/>
      <c r="L38" s="7">
        <f>(L11-L12)/($B$2)</f>
        <v>5.0084557299208639</v>
      </c>
      <c r="M38" s="7">
        <f t="shared" ref="M38:T38" si="47">(M11-M13)/(2*$B$2)</f>
        <v>4.4293719308085562</v>
      </c>
      <c r="N38" s="7">
        <f t="shared" si="47"/>
        <v>4.3492052102767476</v>
      </c>
      <c r="O38" s="7">
        <f t="shared" si="47"/>
        <v>4.3414559201714233</v>
      </c>
      <c r="P38" s="7">
        <f t="shared" si="47"/>
        <v>4.4415208082072866</v>
      </c>
      <c r="Q38" s="7">
        <f t="shared" si="47"/>
        <v>4.5826329983839003</v>
      </c>
      <c r="R38" s="7">
        <f t="shared" si="47"/>
        <v>4.728115151301215</v>
      </c>
      <c r="S38" s="7">
        <f t="shared" si="47"/>
        <v>4.8668570777963875</v>
      </c>
      <c r="T38" s="7">
        <f t="shared" si="47"/>
        <v>5</v>
      </c>
      <c r="U38" s="4">
        <v>4</v>
      </c>
      <c r="W38" s="28" t="s">
        <v>17</v>
      </c>
      <c r="X38" s="24">
        <f>(X37-$B$5)/(($B$4^2)/2)</f>
        <v>0</v>
      </c>
      <c r="Y38" s="24">
        <f t="shared" ref="Y38:AL38" si="48">(Y37-$B$5)/(($B$4^2)/2)</f>
        <v>-3.5737079020473177E-2</v>
      </c>
      <c r="Z38" s="24">
        <f t="shared" si="48"/>
        <v>-9.1033933974686079E-2</v>
      </c>
      <c r="AA38" s="24">
        <f t="shared" si="48"/>
        <v>-0.2035709116628277</v>
      </c>
      <c r="AB38" s="24">
        <f t="shared" si="48"/>
        <v>-0.59334649752010593</v>
      </c>
      <c r="AC38" s="24">
        <f t="shared" si="48"/>
        <v>0.30864062859240221</v>
      </c>
      <c r="AD38" s="24">
        <f t="shared" si="48"/>
        <v>0.58970058153616267</v>
      </c>
      <c r="AE38" s="24">
        <f t="shared" si="48"/>
        <v>0.74184416975447676</v>
      </c>
      <c r="AF38" s="24">
        <f t="shared" si="48"/>
        <v>0.85363227440131595</v>
      </c>
      <c r="AG38" s="24">
        <f t="shared" si="48"/>
        <v>0.95233497416862523</v>
      </c>
      <c r="AH38" s="24">
        <f t="shared" si="48"/>
        <v>0.89241445434308841</v>
      </c>
      <c r="AI38" s="24">
        <f t="shared" si="48"/>
        <v>0.84549092596193076</v>
      </c>
      <c r="AJ38" s="24">
        <f t="shared" si="48"/>
        <v>0.80891511394293047</v>
      </c>
      <c r="AK38" s="24">
        <f t="shared" si="48"/>
        <v>0.77836961084074574</v>
      </c>
      <c r="AL38" s="24">
        <f t="shared" si="48"/>
        <v>0.75</v>
      </c>
    </row>
    <row r="39" spans="4:38" x14ac:dyDescent="0.3">
      <c r="E39" s="6">
        <v>0.4</v>
      </c>
      <c r="F39" s="8"/>
      <c r="G39" s="8"/>
      <c r="H39" s="8"/>
      <c r="I39" s="8"/>
      <c r="J39" s="8"/>
      <c r="K39" s="8"/>
      <c r="L39" s="8"/>
      <c r="M39" s="7">
        <f>(M12-M13)/($B$2)</f>
        <v>3.993158279835396</v>
      </c>
      <c r="N39" s="7">
        <f t="shared" ref="N39:T39" si="49">(N12-N14)/(2*$B$2)</f>
        <v>3.5569446728639487</v>
      </c>
      <c r="O39" s="7">
        <f t="shared" si="49"/>
        <v>3.6486797735308354</v>
      </c>
      <c r="P39" s="7">
        <f t="shared" si="49"/>
        <v>3.9698660508192685</v>
      </c>
      <c r="Q39" s="7">
        <f t="shared" si="49"/>
        <v>4.286214722892379</v>
      </c>
      <c r="R39" s="7">
        <f t="shared" si="49"/>
        <v>4.5565060644824369</v>
      </c>
      <c r="S39" s="7">
        <f t="shared" si="49"/>
        <v>4.7883069095483517</v>
      </c>
      <c r="T39" s="7">
        <f t="shared" si="49"/>
        <v>5</v>
      </c>
      <c r="U39" s="4">
        <v>3</v>
      </c>
    </row>
    <row r="40" spans="4:38" x14ac:dyDescent="0.3">
      <c r="E40" s="6">
        <v>0.2</v>
      </c>
      <c r="F40" s="8"/>
      <c r="G40" s="8"/>
      <c r="H40" s="8"/>
      <c r="I40" s="8"/>
      <c r="J40" s="8"/>
      <c r="K40" s="8"/>
      <c r="L40" s="8"/>
      <c r="M40" s="8"/>
      <c r="N40" s="7">
        <f>(N13-N14)/($B$2)</f>
        <v>3.1416985814568066</v>
      </c>
      <c r="O40" s="7">
        <f t="shared" ref="O40:T40" si="50">(O13-O15)/(2*$B$2)</f>
        <v>2.7264525288689261</v>
      </c>
      <c r="P40" s="7">
        <f t="shared" si="50"/>
        <v>3.5030489776345477</v>
      </c>
      <c r="Q40" s="7">
        <f t="shared" si="50"/>
        <v>4.0358538447508279</v>
      </c>
      <c r="R40" s="7">
        <f t="shared" si="50"/>
        <v>4.4233875258612576</v>
      </c>
      <c r="S40" s="7">
        <f t="shared" si="50"/>
        <v>4.7298645224998932</v>
      </c>
      <c r="T40" s="7">
        <f t="shared" si="50"/>
        <v>5</v>
      </c>
      <c r="U40" s="4">
        <v>2</v>
      </c>
    </row>
    <row r="41" spans="4:38" x14ac:dyDescent="0.3">
      <c r="E41" s="6">
        <v>0</v>
      </c>
      <c r="F41" s="9"/>
      <c r="G41" s="8"/>
      <c r="H41" s="8"/>
      <c r="I41" s="8"/>
      <c r="J41" s="8"/>
      <c r="K41" s="8"/>
      <c r="L41" s="8"/>
      <c r="M41" s="8"/>
      <c r="N41" s="8"/>
      <c r="O41" s="7">
        <f t="shared" ref="O41:T41" si="51">(O14-O15)/($B$2)</f>
        <v>2.1832321413793334</v>
      </c>
      <c r="P41" s="7">
        <f t="shared" si="51"/>
        <v>3.2800235617569942</v>
      </c>
      <c r="Q41" s="7">
        <f t="shared" si="51"/>
        <v>3.9307642264347868</v>
      </c>
      <c r="R41" s="7">
        <f t="shared" si="51"/>
        <v>4.3713257263338043</v>
      </c>
      <c r="S41" s="7">
        <f t="shared" si="51"/>
        <v>4.7077636852258209</v>
      </c>
      <c r="T41" s="7">
        <f t="shared" si="51"/>
        <v>5</v>
      </c>
      <c r="U41" s="4">
        <v>1</v>
      </c>
    </row>
    <row r="42" spans="4:38" x14ac:dyDescent="0.3">
      <c r="E42" s="5"/>
      <c r="F42" s="6">
        <v>0</v>
      </c>
      <c r="G42" s="6">
        <v>0.2</v>
      </c>
      <c r="H42" s="6">
        <v>0.4</v>
      </c>
      <c r="I42" s="6">
        <v>0.60000000000000009</v>
      </c>
      <c r="J42" s="6">
        <v>0.8</v>
      </c>
      <c r="K42" s="6">
        <v>1</v>
      </c>
      <c r="L42" s="6">
        <v>1.2</v>
      </c>
      <c r="M42" s="6">
        <v>1.4</v>
      </c>
      <c r="N42" s="6">
        <v>1.5999999999999999</v>
      </c>
      <c r="O42" s="6">
        <v>1.7999999999999998</v>
      </c>
      <c r="P42" s="6">
        <v>1.9999999999999998</v>
      </c>
      <c r="Q42" s="6">
        <v>2.1999999999999997</v>
      </c>
      <c r="R42" s="6">
        <v>2.4</v>
      </c>
      <c r="S42" s="6">
        <v>2.6</v>
      </c>
      <c r="T42" s="6">
        <v>2.8000000000000003</v>
      </c>
      <c r="U42" s="5"/>
    </row>
    <row r="44" spans="4:38" x14ac:dyDescent="0.3">
      <c r="D44" s="13" t="s">
        <v>11</v>
      </c>
      <c r="E44" s="6">
        <v>1.9999999999999998</v>
      </c>
      <c r="F44" s="7">
        <f>(F5-G5)/$B$2</f>
        <v>0</v>
      </c>
      <c r="G44" s="12">
        <f t="shared" ref="G44:S44" si="52">(F18-H18)/(2*$B$2)</f>
        <v>0</v>
      </c>
      <c r="H44" s="12">
        <f t="shared" si="52"/>
        <v>0</v>
      </c>
      <c r="I44" s="12">
        <f t="shared" si="52"/>
        <v>0</v>
      </c>
      <c r="J44" s="12">
        <f t="shared" si="52"/>
        <v>0</v>
      </c>
      <c r="K44" s="12">
        <f t="shared" si="52"/>
        <v>0</v>
      </c>
      <c r="L44" s="12">
        <f t="shared" si="52"/>
        <v>0</v>
      </c>
      <c r="M44" s="12">
        <f t="shared" si="52"/>
        <v>0</v>
      </c>
      <c r="N44" s="12">
        <f t="shared" si="52"/>
        <v>0</v>
      </c>
      <c r="O44" s="12">
        <f t="shared" si="52"/>
        <v>0</v>
      </c>
      <c r="P44" s="12">
        <f t="shared" si="52"/>
        <v>0</v>
      </c>
      <c r="Q44" s="12">
        <f t="shared" si="52"/>
        <v>0</v>
      </c>
      <c r="R44" s="12">
        <f t="shared" si="52"/>
        <v>0</v>
      </c>
      <c r="S44" s="12">
        <f t="shared" si="52"/>
        <v>0</v>
      </c>
      <c r="T44" s="7">
        <f>(T5-S5)/$B$2</f>
        <v>0</v>
      </c>
      <c r="U44" s="4">
        <v>11</v>
      </c>
    </row>
    <row r="45" spans="4:38" x14ac:dyDescent="0.3">
      <c r="E45" s="6">
        <v>1.7999999999999998</v>
      </c>
      <c r="F45" s="7">
        <f t="shared" ref="F45:F49" si="53">(F6-G6)/$B$2</f>
        <v>-0.14172322569510065</v>
      </c>
      <c r="G45" s="12">
        <f>(F6-H6)/(2*$B$2)</f>
        <v>-0.16217038154337615</v>
      </c>
      <c r="H45" s="12">
        <f t="shared" ref="H45:S45" si="54">(G6-I6)/(2*$B$2)</f>
        <v>-0.2243208840158939</v>
      </c>
      <c r="I45" s="12">
        <f t="shared" si="54"/>
        <v>-0.32587253385324644</v>
      </c>
      <c r="J45" s="12">
        <f t="shared" si="54"/>
        <v>-0.44703483593118154</v>
      </c>
      <c r="K45" s="12">
        <f t="shared" si="54"/>
        <v>-0.53768377187620509</v>
      </c>
      <c r="L45" s="12">
        <f t="shared" si="54"/>
        <v>-0.56315530872694808</v>
      </c>
      <c r="M45" s="12">
        <f t="shared" si="54"/>
        <v>-0.53474855925402576</v>
      </c>
      <c r="N45" s="12">
        <f t="shared" si="54"/>
        <v>-0.47714324360175198</v>
      </c>
      <c r="O45" s="12">
        <f t="shared" si="54"/>
        <v>-0.41059671799080544</v>
      </c>
      <c r="P45" s="12">
        <f t="shared" si="54"/>
        <v>-0.34775528846826109</v>
      </c>
      <c r="Q45" s="12">
        <f t="shared" si="54"/>
        <v>-0.29543743516979415</v>
      </c>
      <c r="R45" s="12">
        <f t="shared" si="54"/>
        <v>-0.2569007971381021</v>
      </c>
      <c r="S45" s="12">
        <f t="shared" si="54"/>
        <v>-0.23349060031254698</v>
      </c>
      <c r="T45" s="7">
        <f t="shared" ref="T45:T54" si="55">(T6-S6)/$B$2</f>
        <v>0.22565605854062198</v>
      </c>
      <c r="U45" s="4">
        <v>10</v>
      </c>
    </row>
    <row r="46" spans="4:38" x14ac:dyDescent="0.3">
      <c r="E46" s="6">
        <v>1.5999999999999999</v>
      </c>
      <c r="F46" s="7">
        <f t="shared" si="53"/>
        <v>-0.24255214884742138</v>
      </c>
      <c r="G46" s="12">
        <f t="shared" ref="G46:S46" si="56">(F7-H7)/(2*$B$2)</f>
        <v>-0.2826374265706022</v>
      </c>
      <c r="H46" s="12">
        <f t="shared" si="56"/>
        <v>-0.40924063214114792</v>
      </c>
      <c r="I46" s="12">
        <f t="shared" si="56"/>
        <v>-0.63213443011674197</v>
      </c>
      <c r="J46" s="12">
        <f t="shared" si="56"/>
        <v>-0.92458305502608029</v>
      </c>
      <c r="K46" s="12">
        <f t="shared" si="56"/>
        <v>-1.1405449624050146</v>
      </c>
      <c r="L46" s="12">
        <f t="shared" si="56"/>
        <v>-1.18018892198688</v>
      </c>
      <c r="M46" s="12">
        <f t="shared" si="56"/>
        <v>-1.0986956996776809</v>
      </c>
      <c r="N46" s="12">
        <f t="shared" si="56"/>
        <v>-0.96322770486740872</v>
      </c>
      <c r="O46" s="12">
        <f t="shared" si="56"/>
        <v>-0.8174883385573084</v>
      </c>
      <c r="P46" s="12">
        <f t="shared" si="56"/>
        <v>-0.68498698934600144</v>
      </c>
      <c r="Q46" s="12">
        <f t="shared" si="56"/>
        <v>-0.57709363312038908</v>
      </c>
      <c r="R46" s="12">
        <f t="shared" si="56"/>
        <v>-0.49867512374493161</v>
      </c>
      <c r="S46" s="12">
        <f t="shared" si="56"/>
        <v>-0.45140550955226288</v>
      </c>
      <c r="T46" s="7">
        <f t="shared" si="55"/>
        <v>0.43564299692767872</v>
      </c>
      <c r="U46" s="4">
        <v>9</v>
      </c>
    </row>
    <row r="47" spans="4:38" x14ac:dyDescent="0.3">
      <c r="E47" s="6">
        <v>1.4</v>
      </c>
      <c r="F47" s="7">
        <f t="shared" si="53"/>
        <v>-0.26321053222987612</v>
      </c>
      <c r="G47" s="12">
        <f t="shared" ref="G47:S47" si="57">(F8-H8)/(2*$B$2)</f>
        <v>-0.31658655995653984</v>
      </c>
      <c r="H47" s="12">
        <f t="shared" si="57"/>
        <v>-0.49786980809364056</v>
      </c>
      <c r="I47" s="12">
        <f t="shared" si="57"/>
        <v>-0.86884152432932016</v>
      </c>
      <c r="J47" s="12">
        <f t="shared" si="57"/>
        <v>-1.4786180242213631</v>
      </c>
      <c r="K47" s="12">
        <f t="shared" si="57"/>
        <v>-1.9197241367616447</v>
      </c>
      <c r="L47" s="12">
        <f t="shared" si="57"/>
        <v>-1.9183597539893893</v>
      </c>
      <c r="M47" s="12">
        <f t="shared" si="57"/>
        <v>-1.716617641312701</v>
      </c>
      <c r="N47" s="12">
        <f t="shared" si="57"/>
        <v>-1.4595835541913282</v>
      </c>
      <c r="O47" s="12">
        <f t="shared" si="57"/>
        <v>-1.2111419408182011</v>
      </c>
      <c r="P47" s="12">
        <f t="shared" si="57"/>
        <v>-0.99761067595768971</v>
      </c>
      <c r="Q47" s="12">
        <f t="shared" si="57"/>
        <v>-0.82927494491734421</v>
      </c>
      <c r="R47" s="12">
        <f t="shared" si="57"/>
        <v>-0.70930049815448815</v>
      </c>
      <c r="S47" s="12">
        <f t="shared" si="57"/>
        <v>-0.63781325190424898</v>
      </c>
      <c r="T47" s="7">
        <f t="shared" si="55"/>
        <v>0.61410483855432574</v>
      </c>
      <c r="U47" s="4">
        <v>8</v>
      </c>
    </row>
    <row r="48" spans="4:38" x14ac:dyDescent="0.3">
      <c r="E48" s="6">
        <v>1.2</v>
      </c>
      <c r="F48" s="7">
        <f t="shared" si="53"/>
        <v>-0.17711687571850598</v>
      </c>
      <c r="G48" s="12">
        <f t="shared" ref="G48:S48" si="58">(F9-H9)/(2*$B$2)</f>
        <v>-0.22262849046043476</v>
      </c>
      <c r="H48" s="12">
        <f t="shared" si="58"/>
        <v>-0.39681053711121961</v>
      </c>
      <c r="I48" s="12">
        <f t="shared" si="58"/>
        <v>-0.86674386500001255</v>
      </c>
      <c r="J48" s="12">
        <f t="shared" si="58"/>
        <v>-2.2013234215095201</v>
      </c>
      <c r="K48" s="12">
        <f t="shared" si="58"/>
        <v>-3.1413738587303617</v>
      </c>
      <c r="L48" s="12">
        <f t="shared" si="58"/>
        <v>-2.8569083672334905</v>
      </c>
      <c r="M48" s="12">
        <f t="shared" si="58"/>
        <v>-2.3898316015674612</v>
      </c>
      <c r="N48" s="12">
        <f t="shared" si="58"/>
        <v>-1.9473469548975197</v>
      </c>
      <c r="O48" s="12">
        <f t="shared" si="58"/>
        <v>-1.5698851958922333</v>
      </c>
      <c r="P48" s="12">
        <f t="shared" si="58"/>
        <v>-1.2650388030799875</v>
      </c>
      <c r="Q48" s="12">
        <f t="shared" si="58"/>
        <v>-1.0330949185721039</v>
      </c>
      <c r="R48" s="12">
        <f t="shared" si="58"/>
        <v>-0.87143859823795244</v>
      </c>
      <c r="S48" s="12">
        <f t="shared" si="58"/>
        <v>-0.77644206977739216</v>
      </c>
      <c r="T48" s="7">
        <f t="shared" si="55"/>
        <v>0.7451497601421142</v>
      </c>
      <c r="U48" s="4">
        <v>7</v>
      </c>
    </row>
    <row r="49" spans="4:21" x14ac:dyDescent="0.3">
      <c r="E49" s="6">
        <v>1</v>
      </c>
      <c r="F49" s="7">
        <f t="shared" si="53"/>
        <v>0</v>
      </c>
      <c r="G49" s="12">
        <f t="shared" ref="G49:J49" si="59">(F23-H23)/(2*$B$2)</f>
        <v>0</v>
      </c>
      <c r="H49" s="12">
        <f t="shared" si="59"/>
        <v>0</v>
      </c>
      <c r="I49" s="12">
        <f t="shared" si="59"/>
        <v>0</v>
      </c>
      <c r="J49" s="12">
        <f t="shared" si="59"/>
        <v>-3.3185579727081658</v>
      </c>
      <c r="K49" s="12">
        <f t="shared" ref="K49:S49" si="60">(J10-L10)/(2*$B$2)</f>
        <v>-5.587539571888116</v>
      </c>
      <c r="L49" s="12">
        <f t="shared" si="60"/>
        <v>-3.9780683226177054</v>
      </c>
      <c r="M49" s="12">
        <f t="shared" si="60"/>
        <v>-3.0384534986227361</v>
      </c>
      <c r="N49" s="12">
        <f t="shared" si="60"/>
        <v>-2.370087504418501</v>
      </c>
      <c r="O49" s="12">
        <f t="shared" si="60"/>
        <v>-1.8560130913498851</v>
      </c>
      <c r="P49" s="12">
        <f t="shared" si="60"/>
        <v>-1.4595643950661841</v>
      </c>
      <c r="Q49" s="12">
        <f t="shared" si="60"/>
        <v>-1.1666272705554603</v>
      </c>
      <c r="R49" s="12">
        <f t="shared" si="60"/>
        <v>-0.96691681947716379</v>
      </c>
      <c r="S49" s="12">
        <f t="shared" si="60"/>
        <v>-0.85136656758380225</v>
      </c>
      <c r="T49" s="7">
        <f t="shared" si="55"/>
        <v>0.81360995113798573</v>
      </c>
      <c r="U49" s="4">
        <v>6</v>
      </c>
    </row>
    <row r="50" spans="4:21" x14ac:dyDescent="0.3">
      <c r="E50" s="6">
        <v>0.8</v>
      </c>
      <c r="F50" s="8"/>
      <c r="G50" s="8"/>
      <c r="H50" s="8"/>
      <c r="I50" s="8"/>
      <c r="J50" s="8"/>
      <c r="K50" s="7">
        <f>(K11-L11)/$B$2</f>
        <v>-5.0084557299208639</v>
      </c>
      <c r="L50" s="12">
        <f t="shared" ref="L50:S50" si="61">(K11-M11)/(2*$B$2)</f>
        <v>-4.4293719308085562</v>
      </c>
      <c r="M50" s="12">
        <f t="shared" si="61"/>
        <v>-3.4158266360447187</v>
      </c>
      <c r="N50" s="12">
        <f t="shared" si="61"/>
        <v>-2.6385365182317937</v>
      </c>
      <c r="O50" s="12">
        <f t="shared" si="61"/>
        <v>-2.0245152848366841</v>
      </c>
      <c r="P50" s="12">
        <f t="shared" si="61"/>
        <v>-1.5505783940943796</v>
      </c>
      <c r="Q50" s="12">
        <f t="shared" si="61"/>
        <v>-1.2069328913206379</v>
      </c>
      <c r="R50" s="12">
        <f t="shared" si="61"/>
        <v>-0.97823475716155239</v>
      </c>
      <c r="S50" s="12">
        <f t="shared" si="61"/>
        <v>-0.84849732283752699</v>
      </c>
      <c r="T50" s="7">
        <f t="shared" si="55"/>
        <v>0.8065567994074363</v>
      </c>
      <c r="U50" s="4">
        <v>5</v>
      </c>
    </row>
    <row r="51" spans="4:21" x14ac:dyDescent="0.3">
      <c r="E51" s="6">
        <v>0.60000000000000009</v>
      </c>
      <c r="F51" s="8"/>
      <c r="G51" s="8"/>
      <c r="H51" s="8"/>
      <c r="I51" s="8"/>
      <c r="J51" s="8"/>
      <c r="K51" s="8"/>
      <c r="L51" s="7">
        <f>(L12-M12)/$B$2</f>
        <v>-3.993158279835396</v>
      </c>
      <c r="M51" s="12">
        <f t="shared" ref="M51:S51" si="62">(L12-N12)/(2*$B$2)</f>
        <v>-3.5569446728639487</v>
      </c>
      <c r="N51" s="12">
        <f t="shared" si="62"/>
        <v>-2.7437167043028041</v>
      </c>
      <c r="O51" s="12">
        <f t="shared" si="62"/>
        <v>-2.0529331588338171</v>
      </c>
      <c r="P51" s="12">
        <f t="shared" si="62"/>
        <v>-1.5113009918892706</v>
      </c>
      <c r="Q51" s="12">
        <f t="shared" si="62"/>
        <v>-1.1322910959515731</v>
      </c>
      <c r="R51" s="12">
        <f t="shared" si="62"/>
        <v>-0.89059191605148968</v>
      </c>
      <c r="S51" s="12">
        <f t="shared" si="62"/>
        <v>-0.75783107235066094</v>
      </c>
      <c r="T51" s="7">
        <f t="shared" si="55"/>
        <v>0.71562249567747482</v>
      </c>
      <c r="U51" s="4">
        <v>4</v>
      </c>
    </row>
    <row r="52" spans="4:21" x14ac:dyDescent="0.3">
      <c r="E52" s="6">
        <v>0.4</v>
      </c>
      <c r="F52" s="8"/>
      <c r="G52" s="8"/>
      <c r="H52" s="8"/>
      <c r="I52" s="8"/>
      <c r="J52" s="8"/>
      <c r="K52" s="8"/>
      <c r="L52" s="8"/>
      <c r="M52" s="7">
        <f>(M13-N13)/$B$2</f>
        <v>-3.1416985814568066</v>
      </c>
      <c r="N52" s="12">
        <f t="shared" ref="N52:S52" si="63">(M13-O13)/(2*$B$2)</f>
        <v>-2.7264525288689261</v>
      </c>
      <c r="O52" s="12">
        <f t="shared" si="63"/>
        <v>-1.9321996869061446</v>
      </c>
      <c r="P52" s="12">
        <f t="shared" si="63"/>
        <v>-1.3094013158819022</v>
      </c>
      <c r="Q52" s="12">
        <f t="shared" si="63"/>
        <v>-0.92033854822671013</v>
      </c>
      <c r="R52" s="12">
        <f t="shared" si="63"/>
        <v>-0.69401067774906511</v>
      </c>
      <c r="S52" s="12">
        <f t="shared" si="63"/>
        <v>-0.57661247413874184</v>
      </c>
      <c r="T52" s="7">
        <f t="shared" si="55"/>
        <v>0.54027095500021272</v>
      </c>
      <c r="U52" s="4">
        <v>3</v>
      </c>
    </row>
    <row r="53" spans="4:21" x14ac:dyDescent="0.3">
      <c r="E53" s="6">
        <v>0.2</v>
      </c>
      <c r="F53" s="8"/>
      <c r="G53" s="8"/>
      <c r="H53" s="8"/>
      <c r="I53" s="8"/>
      <c r="J53" s="8"/>
      <c r="K53" s="8"/>
      <c r="L53" s="8"/>
      <c r="M53" s="8"/>
      <c r="N53" s="7">
        <f>(N14-O14)/$B$2</f>
        <v>-2.1832321413793334</v>
      </c>
      <c r="O53" s="12">
        <f t="shared" ref="O53:S53" si="64">(N14-P14)/(2*$B$2)</f>
        <v>-1.6400117808784971</v>
      </c>
      <c r="P53" s="12">
        <f t="shared" si="64"/>
        <v>-0.87376604252772672</v>
      </c>
      <c r="Q53" s="12">
        <f t="shared" si="64"/>
        <v>-0.54565108228840498</v>
      </c>
      <c r="R53" s="12">
        <f t="shared" si="64"/>
        <v>-0.38849972939551725</v>
      </c>
      <c r="S53" s="12">
        <f t="shared" si="64"/>
        <v>-0.31433713683309772</v>
      </c>
      <c r="T53" s="7">
        <f t="shared" si="55"/>
        <v>0.29223631477417855</v>
      </c>
      <c r="U53" s="4">
        <v>2</v>
      </c>
    </row>
    <row r="54" spans="4:21" x14ac:dyDescent="0.3">
      <c r="E54" s="6">
        <v>0</v>
      </c>
      <c r="F54" s="9"/>
      <c r="G54" s="8"/>
      <c r="H54" s="8"/>
      <c r="I54" s="8"/>
      <c r="J54" s="8"/>
      <c r="K54" s="8"/>
      <c r="L54" s="8"/>
      <c r="M54" s="8"/>
      <c r="N54" s="8"/>
      <c r="O54" s="7">
        <f>(O15-P15)/$B$2</f>
        <v>0</v>
      </c>
      <c r="P54" s="12">
        <f t="shared" ref="P54:S54" si="65">(O15-Q15)/(2*$B$2)</f>
        <v>0</v>
      </c>
      <c r="Q54" s="12">
        <f t="shared" si="65"/>
        <v>0</v>
      </c>
      <c r="R54" s="12">
        <f t="shared" si="65"/>
        <v>0</v>
      </c>
      <c r="S54" s="12">
        <f t="shared" si="65"/>
        <v>0</v>
      </c>
      <c r="T54" s="7">
        <f t="shared" si="55"/>
        <v>0</v>
      </c>
      <c r="U54" s="4">
        <v>1</v>
      </c>
    </row>
    <row r="55" spans="4:21" x14ac:dyDescent="0.3">
      <c r="E55" s="5"/>
      <c r="F55" s="6">
        <v>0</v>
      </c>
      <c r="G55" s="6">
        <v>0.2</v>
      </c>
      <c r="H55" s="6">
        <v>0.4</v>
      </c>
      <c r="I55" s="6">
        <v>0.60000000000000009</v>
      </c>
      <c r="J55" s="6">
        <v>0.8</v>
      </c>
      <c r="K55" s="6">
        <v>1</v>
      </c>
      <c r="L55" s="6">
        <v>1.2</v>
      </c>
      <c r="M55" s="6">
        <v>1.4</v>
      </c>
      <c r="N55" s="6">
        <v>1.5999999999999999</v>
      </c>
      <c r="O55" s="6">
        <v>1.7999999999999998</v>
      </c>
      <c r="P55" s="6">
        <v>1.9999999999999998</v>
      </c>
      <c r="Q55" s="6">
        <v>2.1999999999999997</v>
      </c>
      <c r="R55" s="6">
        <v>2.4</v>
      </c>
      <c r="S55" s="6">
        <v>2.6</v>
      </c>
      <c r="T55" s="6">
        <v>2.8000000000000003</v>
      </c>
      <c r="U55" s="5"/>
    </row>
    <row r="57" spans="4:21" x14ac:dyDescent="0.3">
      <c r="D57" s="3" t="s">
        <v>12</v>
      </c>
      <c r="E57" s="6">
        <v>1.9999999999999998</v>
      </c>
      <c r="F57" s="7">
        <f>SQRT(SUMSQ(F31,F44))</f>
        <v>10</v>
      </c>
      <c r="G57" s="7">
        <f t="shared" ref="G57:T57" si="66">SQRT(SUMSQ(G31,G44))</f>
        <v>9.8582767743048993</v>
      </c>
      <c r="H57" s="7">
        <f t="shared" si="66"/>
        <v>9.6756592369132477</v>
      </c>
      <c r="I57" s="7">
        <f t="shared" si="66"/>
        <v>9.4096350062731116</v>
      </c>
      <c r="J57" s="7">
        <f t="shared" si="66"/>
        <v>9.0239141692067548</v>
      </c>
      <c r="K57" s="7">
        <f t="shared" si="66"/>
        <v>8.5155653344107485</v>
      </c>
      <c r="L57" s="7">
        <f t="shared" si="66"/>
        <v>7.9485466254543446</v>
      </c>
      <c r="M57" s="7">
        <f t="shared" si="66"/>
        <v>7.3892547169568523</v>
      </c>
      <c r="N57" s="7">
        <f t="shared" si="66"/>
        <v>6.8790495069462931</v>
      </c>
      <c r="O57" s="7">
        <f t="shared" si="66"/>
        <v>6.4349682297533484</v>
      </c>
      <c r="P57" s="7">
        <f t="shared" si="66"/>
        <v>6.0578560709646823</v>
      </c>
      <c r="Q57" s="7">
        <f t="shared" si="66"/>
        <v>5.7394576528168262</v>
      </c>
      <c r="R57" s="7">
        <f t="shared" si="66"/>
        <v>5.466981200625094</v>
      </c>
      <c r="S57" s="7">
        <f t="shared" si="66"/>
        <v>5.225656058540622</v>
      </c>
      <c r="T57" s="7">
        <f t="shared" si="66"/>
        <v>5</v>
      </c>
      <c r="U57" s="4">
        <v>11</v>
      </c>
    </row>
    <row r="58" spans="4:21" x14ac:dyDescent="0.3">
      <c r="E58" s="6">
        <v>1.7999999999999998</v>
      </c>
      <c r="F58" s="7">
        <f t="shared" ref="F58:T58" si="67">SQRT(SUMSQ(F32,F45))</f>
        <v>10.001004223211858</v>
      </c>
      <c r="G58" s="7">
        <f t="shared" si="67"/>
        <v>9.8800549406571267</v>
      </c>
      <c r="H58" s="7">
        <f t="shared" si="67"/>
        <v>9.7199514012412678</v>
      </c>
      <c r="I58" s="7">
        <f t="shared" si="67"/>
        <v>9.4750887464428111</v>
      </c>
      <c r="J58" s="7">
        <f t="shared" si="67"/>
        <v>9.0962195752178463</v>
      </c>
      <c r="K58" s="7">
        <f t="shared" si="67"/>
        <v>8.5618002734764982</v>
      </c>
      <c r="L58" s="7">
        <f t="shared" si="67"/>
        <v>7.9646176773743571</v>
      </c>
      <c r="M58" s="7">
        <f t="shared" si="67"/>
        <v>7.3840997281903764</v>
      </c>
      <c r="N58" s="7">
        <f t="shared" si="67"/>
        <v>6.8625950097665047</v>
      </c>
      <c r="O58" s="7">
        <f t="shared" si="67"/>
        <v>6.4146381109014365</v>
      </c>
      <c r="P58" s="7">
        <f t="shared" si="67"/>
        <v>6.0385209823153332</v>
      </c>
      <c r="Q58" s="7">
        <f t="shared" si="67"/>
        <v>5.7241258642542086</v>
      </c>
      <c r="R58" s="7">
        <f t="shared" si="67"/>
        <v>5.4574554555348369</v>
      </c>
      <c r="S58" s="7">
        <f t="shared" si="67"/>
        <v>5.2230430833246757</v>
      </c>
      <c r="T58" s="7">
        <f t="shared" si="67"/>
        <v>5.0050894753996245</v>
      </c>
      <c r="U58" s="4">
        <v>10</v>
      </c>
    </row>
    <row r="59" spans="4:21" x14ac:dyDescent="0.3">
      <c r="E59" s="6">
        <v>1.5999999999999999</v>
      </c>
      <c r="F59" s="7">
        <f t="shared" ref="F59:T59" si="68">SQRT(SUMSQ(F33,F46))</f>
        <v>10.00294114472891</v>
      </c>
      <c r="G59" s="7">
        <f t="shared" si="68"/>
        <v>9.9432741408935783</v>
      </c>
      <c r="H59" s="7">
        <f t="shared" si="68"/>
        <v>9.8540853803327533</v>
      </c>
      <c r="I59" s="7">
        <f t="shared" si="68"/>
        <v>9.6863560701692339</v>
      </c>
      <c r="J59" s="7">
        <f t="shared" si="68"/>
        <v>9.3484488831914394</v>
      </c>
      <c r="K59" s="7">
        <f t="shared" si="68"/>
        <v>8.7091299281679682</v>
      </c>
      <c r="L59" s="7">
        <f t="shared" si="68"/>
        <v>8.0080175928004245</v>
      </c>
      <c r="M59" s="7">
        <f t="shared" si="68"/>
        <v>7.3613725307631634</v>
      </c>
      <c r="N59" s="7">
        <f t="shared" si="68"/>
        <v>6.8071989735882328</v>
      </c>
      <c r="O59" s="7">
        <f t="shared" si="68"/>
        <v>6.3493260277771473</v>
      </c>
      <c r="P59" s="7">
        <f t="shared" si="68"/>
        <v>5.9775373923790651</v>
      </c>
      <c r="Q59" s="7">
        <f t="shared" si="68"/>
        <v>5.6760374106159741</v>
      </c>
      <c r="R59" s="7">
        <f t="shared" si="68"/>
        <v>5.4272811058161698</v>
      </c>
      <c r="S59" s="7">
        <f t="shared" si="68"/>
        <v>5.213802254381747</v>
      </c>
      <c r="T59" s="7">
        <f t="shared" si="68"/>
        <v>5.018942599868236</v>
      </c>
      <c r="U59" s="4">
        <v>9</v>
      </c>
    </row>
    <row r="60" spans="4:21" x14ac:dyDescent="0.3">
      <c r="E60" s="6">
        <v>1.4</v>
      </c>
      <c r="F60" s="7">
        <f t="shared" ref="F60:T60" si="69">SQRT(SUMSQ(F34,F47))</f>
        <v>10.003463389460508</v>
      </c>
      <c r="G60" s="7">
        <f t="shared" si="69"/>
        <v>10.03771140375019</v>
      </c>
      <c r="H60" s="7">
        <f t="shared" si="69"/>
        <v>10.07232118930029</v>
      </c>
      <c r="I60" s="7">
        <f t="shared" si="69"/>
        <v>10.082652356595199</v>
      </c>
      <c r="J60" s="7">
        <f t="shared" si="69"/>
        <v>9.9360347533743063</v>
      </c>
      <c r="K60" s="7">
        <f t="shared" si="69"/>
        <v>8.9760965058201734</v>
      </c>
      <c r="L60" s="7">
        <f t="shared" si="69"/>
        <v>8.0563024581265328</v>
      </c>
      <c r="M60" s="7">
        <f t="shared" si="69"/>
        <v>7.296493245334756</v>
      </c>
      <c r="N60" s="7">
        <f t="shared" si="69"/>
        <v>6.6944867742183396</v>
      </c>
      <c r="O60" s="7">
        <f t="shared" si="69"/>
        <v>6.2264965958032512</v>
      </c>
      <c r="P60" s="7">
        <f t="shared" si="69"/>
        <v>5.8664832424488118</v>
      </c>
      <c r="Q60" s="7">
        <f t="shared" si="69"/>
        <v>5.5893773829237841</v>
      </c>
      <c r="R60" s="7">
        <f t="shared" si="69"/>
        <v>5.3720686485204636</v>
      </c>
      <c r="S60" s="7">
        <f t="shared" si="69"/>
        <v>5.1940627806656048</v>
      </c>
      <c r="T60" s="7">
        <f t="shared" si="69"/>
        <v>5.0375713149032277</v>
      </c>
      <c r="U60" s="4">
        <v>8</v>
      </c>
    </row>
    <row r="61" spans="4:21" x14ac:dyDescent="0.3">
      <c r="E61" s="6">
        <v>1.2</v>
      </c>
      <c r="F61" s="7">
        <f t="shared" ref="F61:T61" si="70">SQRT(SUMSQ(F35,F48))</f>
        <v>10.001568396389853</v>
      </c>
      <c r="G61" s="7">
        <f t="shared" si="70"/>
        <v>10.134050952759839</v>
      </c>
      <c r="H61" s="7">
        <f t="shared" si="70"/>
        <v>10.324215071928634</v>
      </c>
      <c r="I61" s="7">
        <f t="shared" si="70"/>
        <v>10.664754346947548</v>
      </c>
      <c r="J61" s="7">
        <f t="shared" si="70"/>
        <v>11.399983606778441</v>
      </c>
      <c r="K61" s="7">
        <f t="shared" si="70"/>
        <v>9.3340322084457057</v>
      </c>
      <c r="L61" s="7">
        <f t="shared" si="70"/>
        <v>8.0421654646973018</v>
      </c>
      <c r="M61" s="7">
        <f t="shared" si="70"/>
        <v>7.1415586839208833</v>
      </c>
      <c r="N61" s="7">
        <f t="shared" si="70"/>
        <v>6.4945985416473357</v>
      </c>
      <c r="O61" s="7">
        <f t="shared" si="70"/>
        <v>6.0273588754123901</v>
      </c>
      <c r="P61" s="7">
        <f t="shared" si="70"/>
        <v>5.6932307710218781</v>
      </c>
      <c r="Q61" s="7">
        <f t="shared" si="70"/>
        <v>5.4560687680427939</v>
      </c>
      <c r="R61" s="7">
        <f t="shared" si="70"/>
        <v>5.2858815164485273</v>
      </c>
      <c r="S61" s="7">
        <f t="shared" si="70"/>
        <v>5.1585209530567244</v>
      </c>
      <c r="T61" s="7">
        <f t="shared" si="70"/>
        <v>5.0552198928473775</v>
      </c>
      <c r="U61" s="4">
        <v>7</v>
      </c>
    </row>
    <row r="62" spans="4:21" x14ac:dyDescent="0.3">
      <c r="E62" s="6">
        <v>1</v>
      </c>
      <c r="F62" s="7">
        <f t="shared" ref="F62:T62" si="71">SQRT(SUMSQ(F36,F49))</f>
        <v>10</v>
      </c>
      <c r="G62" s="7">
        <f t="shared" si="71"/>
        <v>10.177116875718506</v>
      </c>
      <c r="H62" s="7">
        <f t="shared" si="71"/>
        <v>10.445256980920869</v>
      </c>
      <c r="I62" s="7">
        <f t="shared" si="71"/>
        <v>10.970737949940945</v>
      </c>
      <c r="J62" s="7">
        <f t="shared" si="71"/>
        <v>12.622782963832048</v>
      </c>
      <c r="K62" s="7">
        <f t="shared" si="71"/>
        <v>9.5029384121712042</v>
      </c>
      <c r="L62" s="7">
        <f t="shared" si="71"/>
        <v>7.8147985695056397</v>
      </c>
      <c r="M62" s="7">
        <f t="shared" si="71"/>
        <v>6.8275906353865912</v>
      </c>
      <c r="N62" s="7">
        <f t="shared" si="71"/>
        <v>6.1735954548904974</v>
      </c>
      <c r="O62" s="7">
        <f t="shared" si="71"/>
        <v>5.7318530611458947</v>
      </c>
      <c r="P62" s="7">
        <f t="shared" si="71"/>
        <v>5.4451560087779116</v>
      </c>
      <c r="Q62" s="7">
        <f t="shared" si="71"/>
        <v>5.2682940441445911</v>
      </c>
      <c r="R62" s="7">
        <f t="shared" si="71"/>
        <v>5.1633973918228238</v>
      </c>
      <c r="S62" s="7">
        <f t="shared" si="71"/>
        <v>5.1022350920791437</v>
      </c>
      <c r="T62" s="7">
        <f t="shared" si="71"/>
        <v>5.0657636297591653</v>
      </c>
      <c r="U62" s="4">
        <v>6</v>
      </c>
    </row>
    <row r="63" spans="4:21" x14ac:dyDescent="0.3">
      <c r="E63" s="6">
        <v>0.8</v>
      </c>
      <c r="F63" s="8"/>
      <c r="G63" s="8"/>
      <c r="H63" s="8"/>
      <c r="I63" s="8"/>
      <c r="J63" s="8"/>
      <c r="K63" s="7">
        <f t="shared" ref="K63:T63" si="72">SQRT(SUMSQ(K37,K50))</f>
        <v>8.314802291141115</v>
      </c>
      <c r="L63" s="7">
        <f t="shared" si="72"/>
        <v>7.1302127716394512</v>
      </c>
      <c r="M63" s="7">
        <f t="shared" si="72"/>
        <v>6.3054239797639813</v>
      </c>
      <c r="N63" s="7">
        <f t="shared" si="72"/>
        <v>5.7146414249477981</v>
      </c>
      <c r="O63" s="7">
        <f t="shared" si="72"/>
        <v>5.326185887761099</v>
      </c>
      <c r="P63" s="7">
        <f t="shared" si="72"/>
        <v>5.1129177405674078</v>
      </c>
      <c r="Q63" s="7">
        <f t="shared" si="72"/>
        <v>5.0218727036741075</v>
      </c>
      <c r="R63" s="7">
        <f t="shared" si="72"/>
        <v>5.0030327978793032</v>
      </c>
      <c r="S63" s="7">
        <f t="shared" si="72"/>
        <v>5.0231873163278307</v>
      </c>
      <c r="T63" s="7">
        <f t="shared" si="72"/>
        <v>5.0646356108480663</v>
      </c>
      <c r="U63" s="4">
        <v>5</v>
      </c>
    </row>
    <row r="64" spans="4:21" x14ac:dyDescent="0.3">
      <c r="E64" s="6">
        <v>0.60000000000000009</v>
      </c>
      <c r="F64" s="8"/>
      <c r="G64" s="8"/>
      <c r="H64" s="8"/>
      <c r="I64" s="8"/>
      <c r="J64" s="8"/>
      <c r="K64" s="8"/>
      <c r="L64" s="7">
        <f t="shared" ref="L64:T64" si="73">SQRT(SUMSQ(L38,L51))</f>
        <v>6.4054618761175304</v>
      </c>
      <c r="M64" s="7">
        <f t="shared" si="73"/>
        <v>5.680773812364821</v>
      </c>
      <c r="N64" s="7">
        <f t="shared" si="73"/>
        <v>5.1423309223122393</v>
      </c>
      <c r="O64" s="7">
        <f t="shared" si="73"/>
        <v>4.8023717121263001</v>
      </c>
      <c r="P64" s="7">
        <f t="shared" si="73"/>
        <v>4.6916029006964992</v>
      </c>
      <c r="Q64" s="7">
        <f t="shared" si="73"/>
        <v>4.7204457759673746</v>
      </c>
      <c r="R64" s="7">
        <f t="shared" si="73"/>
        <v>4.8112604216463248</v>
      </c>
      <c r="S64" s="7">
        <f t="shared" si="73"/>
        <v>4.9255056339341392</v>
      </c>
      <c r="T64" s="7">
        <f t="shared" si="73"/>
        <v>5.0509519455563678</v>
      </c>
      <c r="U64" s="4">
        <v>4</v>
      </c>
    </row>
    <row r="65" spans="5:21" x14ac:dyDescent="0.3">
      <c r="E65" s="6">
        <v>0.4</v>
      </c>
      <c r="F65" s="8"/>
      <c r="G65" s="8"/>
      <c r="H65" s="8"/>
      <c r="I65" s="8"/>
      <c r="J65" s="8"/>
      <c r="K65" s="8"/>
      <c r="L65" s="8"/>
      <c r="M65" s="7">
        <f t="shared" ref="M65:T65" si="74">SQRT(SUMSQ(M39,M52))</f>
        <v>5.0809037606065406</v>
      </c>
      <c r="N65" s="7">
        <f t="shared" si="74"/>
        <v>4.4816736603629437</v>
      </c>
      <c r="O65" s="7">
        <f t="shared" si="74"/>
        <v>4.1287116295344761</v>
      </c>
      <c r="P65" s="7">
        <f t="shared" si="74"/>
        <v>4.1802354320636814</v>
      </c>
      <c r="Q65" s="7">
        <f t="shared" si="74"/>
        <v>4.3839091794985263</v>
      </c>
      <c r="R65" s="7">
        <f t="shared" si="74"/>
        <v>4.6090561220812818</v>
      </c>
      <c r="S65" s="7">
        <f t="shared" si="74"/>
        <v>4.8229000617222919</v>
      </c>
      <c r="T65" s="7">
        <f t="shared" si="74"/>
        <v>5.0291045629233881</v>
      </c>
      <c r="U65" s="4">
        <v>3</v>
      </c>
    </row>
    <row r="66" spans="5:21" x14ac:dyDescent="0.3">
      <c r="E66" s="6">
        <v>0.2</v>
      </c>
      <c r="F66" s="8"/>
      <c r="G66" s="8"/>
      <c r="H66" s="8"/>
      <c r="I66" s="8"/>
      <c r="J66" s="8"/>
      <c r="K66" s="8"/>
      <c r="L66" s="8"/>
      <c r="M66" s="8"/>
      <c r="N66" s="7">
        <f t="shared" ref="N66:T66" si="75">SQRT(SUMSQ(N40,N53))</f>
        <v>3.8258035182010457</v>
      </c>
      <c r="O66" s="7">
        <f t="shared" si="75"/>
        <v>3.1816948366548328</v>
      </c>
      <c r="P66" s="7">
        <f t="shared" si="75"/>
        <v>3.6103766059486113</v>
      </c>
      <c r="Q66" s="7">
        <f t="shared" si="75"/>
        <v>4.0725730637758417</v>
      </c>
      <c r="R66" s="7">
        <f t="shared" si="75"/>
        <v>4.4404154359344989</v>
      </c>
      <c r="S66" s="7">
        <f t="shared" si="75"/>
        <v>4.7402981168693987</v>
      </c>
      <c r="T66" s="7">
        <f t="shared" si="75"/>
        <v>5.0085329252858859</v>
      </c>
      <c r="U66" s="4">
        <v>2</v>
      </c>
    </row>
    <row r="67" spans="5:21" x14ac:dyDescent="0.3">
      <c r="E67" s="6">
        <v>0</v>
      </c>
      <c r="F67" s="9"/>
      <c r="G67" s="8"/>
      <c r="H67" s="8"/>
      <c r="I67" s="8"/>
      <c r="J67" s="8"/>
      <c r="K67" s="8"/>
      <c r="L67" s="8"/>
      <c r="M67" s="8"/>
      <c r="N67" s="8"/>
      <c r="O67" s="7">
        <f t="shared" ref="O67:T67" si="76">SQRT(SUMSQ(O41,O54))</f>
        <v>2.1832321413793334</v>
      </c>
      <c r="P67" s="7">
        <f t="shared" si="76"/>
        <v>3.2800235617569942</v>
      </c>
      <c r="Q67" s="7">
        <f t="shared" si="76"/>
        <v>3.9307642264347868</v>
      </c>
      <c r="R67" s="7">
        <f t="shared" si="76"/>
        <v>4.3713257263338043</v>
      </c>
      <c r="S67" s="7">
        <f t="shared" si="76"/>
        <v>4.7077636852258209</v>
      </c>
      <c r="T67" s="7">
        <f t="shared" si="76"/>
        <v>5</v>
      </c>
      <c r="U67" s="4">
        <v>1</v>
      </c>
    </row>
    <row r="68" spans="5:21" x14ac:dyDescent="0.3">
      <c r="E68" s="5"/>
      <c r="F68" s="6">
        <v>0</v>
      </c>
      <c r="G68" s="6">
        <v>0.2</v>
      </c>
      <c r="H68" s="6">
        <v>0.4</v>
      </c>
      <c r="I68" s="6">
        <v>0.60000000000000009</v>
      </c>
      <c r="J68" s="6">
        <v>0.8</v>
      </c>
      <c r="K68" s="6">
        <v>1</v>
      </c>
      <c r="L68" s="6">
        <v>1.2</v>
      </c>
      <c r="M68" s="6">
        <v>1.4</v>
      </c>
      <c r="N68" s="6">
        <v>1.5999999999999999</v>
      </c>
      <c r="O68" s="6">
        <v>1.7999999999999998</v>
      </c>
      <c r="P68" s="6">
        <v>1.9999999999999998</v>
      </c>
      <c r="Q68" s="6">
        <v>2.1999999999999997</v>
      </c>
      <c r="R68" s="6">
        <v>2.4</v>
      </c>
      <c r="S68" s="6">
        <v>2.6</v>
      </c>
      <c r="T68" s="6">
        <v>2.8000000000000003</v>
      </c>
      <c r="U68" s="5"/>
    </row>
  </sheetData>
  <conditionalFormatting sqref="F44:T54 F31:T41">
    <cfRule type="colorScale" priority="3">
      <colorScale>
        <cfvo type="min"/>
        <cfvo type="num" val="0"/>
        <cfvo type="max"/>
        <color rgb="FFF53939"/>
        <color theme="0"/>
        <color rgb="FF4FFF4F"/>
      </colorScale>
    </cfRule>
  </conditionalFormatting>
  <conditionalFormatting sqref="F5:T15 F18:T28">
    <cfRule type="colorScale" priority="2">
      <colorScale>
        <cfvo type="min"/>
        <cfvo type="percent" val="50"/>
        <cfvo type="max"/>
        <color rgb="FFF53939"/>
        <color rgb="FFFFEB00"/>
        <color rgb="FF92D050"/>
      </colorScale>
    </cfRule>
  </conditionalFormatting>
  <conditionalFormatting sqref="F57:T67">
    <cfRule type="colorScale" priority="1">
      <colorScale>
        <cfvo type="num" val="0"/>
        <cfvo type="percent" val="50"/>
        <cfvo type="max"/>
        <color rgb="FFF53939"/>
        <color rgb="FFFFEB00"/>
        <color rgb="FF71E971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</dc:creator>
  <cp:lastModifiedBy>Николай</cp:lastModifiedBy>
  <dcterms:created xsi:type="dcterms:W3CDTF">2015-06-05T18:19:34Z</dcterms:created>
  <dcterms:modified xsi:type="dcterms:W3CDTF">2021-11-12T11:39:41Z</dcterms:modified>
</cp:coreProperties>
</file>